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<sst xmlns="http://schemas.openxmlformats.org/spreadsheetml/2006/main" count="135" uniqueCount="102">
  <si>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</si>
  <si>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</si>
  <si>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</si>
  <si>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</si>
  <si>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</si>
  <si>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</si>
  <si>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</si>
  <si>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</si>
  <si>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</si>
  <si>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</si>
  <si>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</si>
  <si>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</si>
  <si>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</si>
  <si>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</si>
  <si>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</si>
  <si>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</si>
  <si>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</si>
  <si>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</si>
  <si>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</si>
  <si>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</si>
  <si>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</si>
  <si>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</si>
  <si>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</si>
  <si>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</si>
  <si>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</si>
  <si>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</si>
  <si>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</si>
  <si>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</si>
  <si>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</si>
  <si>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</si>
  <si>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</si>
  <si>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</si>
  <si>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</si>
  <si>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</si>
  <si>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</si>
  <si>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</si>
  <si>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</si>
  <si>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</si>
  <si>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</si>
  <si>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</si>
  <si>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</si>
  <si>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</si>
  <si>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</si>
  <si>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</si>
  <si>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</si>
  <si>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</si>
  <si>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</si>
  <si>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</si>
  <si>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</si>
  <si>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</si>
  <si>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</si>
  <si>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</si>
  <si>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</si>
  <si>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</si>
  <si>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</si>
  <si>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+13.32%)</t>
    </r>
  </si>
  <si>
    <r>
      <rPr>
        <sz val="11"/>
        <color rgb="FF000000"/>
        <rFont val="Noto Sans CJK SC"/>
        <family val="2"/>
      </rPr>
      <t xml:space="preserve">沃什杰克逊霍尔放鹰</t>
    </r>
    <r>
      <rPr>
        <sz val="11"/>
        <color rgb="FF000000"/>
        <rFont val="Calibri"/>
        <family val="2"/>
        <charset val="1"/>
      </rPr>
      <t xml:space="preserve">(2026</t>
    </r>
    <r>
      <rPr>
        <sz val="11"/>
        <color rgb="FF000000"/>
        <rFont val="Noto Sans CJK SC"/>
        <family val="2"/>
      </rPr>
      <t xml:space="preserve">加息定价升至</t>
    </r>
    <r>
      <rPr>
        <sz val="11"/>
        <color rgb="FF000000"/>
        <rFont val="Calibri"/>
        <family val="2"/>
        <charset val="1"/>
      </rPr>
      <t xml:space="preserve">50%+)+</t>
    </r>
    <r>
      <rPr>
        <sz val="11"/>
        <color rgb="FF000000"/>
        <rFont val="Noto Sans CJK SC"/>
        <family val="2"/>
      </rPr>
      <t xml:space="preserve">美元美债收益率走强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技术破位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跌破</t>
    </r>
    <r>
      <rPr>
        <sz val="11"/>
        <color rgb="FF000000"/>
        <rFont val="Calibri"/>
        <family val="2"/>
        <charset val="1"/>
      </rPr>
      <t xml:space="preserve">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/4515-4527</t>
    </r>
    <r>
      <rPr>
        <sz val="11"/>
        <color rgb="FF000000"/>
        <rFont val="Noto Sans CJK SC"/>
        <family val="2"/>
      </rPr>
      <t xml:space="preserve">汇合区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三只乌鸦</t>
    </r>
    <r>
      <rPr>
        <sz val="11"/>
        <color rgb="FF000000"/>
        <rFont val="Calibri"/>
        <family val="2"/>
        <charset val="1"/>
      </rPr>
      <t xml:space="preserve">)+20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+13.32%</t>
    </r>
    <r>
      <rPr>
        <sz val="11"/>
        <color rgb="FF000000"/>
        <rFont val="Noto Sans CJK SC"/>
        <family val="2"/>
      </rPr>
      <t xml:space="preserve">超买获利盘；托底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+19.9</t>
    </r>
    <r>
      <rPr>
        <sz val="11"/>
        <color rgb="FF000000"/>
        <rFont val="Noto Sans CJK SC"/>
        <family val="2"/>
      </rPr>
      <t xml:space="preserve">吨</t>
    </r>
    <r>
      <rPr>
        <sz val="11"/>
        <color rgb="FF000000"/>
        <rFont val="Calibri"/>
        <family val="2"/>
        <charset val="1"/>
      </rPr>
      <t xml:space="preserve">)+4441-4367</t>
    </r>
    <r>
      <rPr>
        <sz val="11"/>
        <color rgb="FF000000"/>
        <rFont val="Noto Sans CJK SC"/>
        <family val="2"/>
      </rPr>
      <t xml:space="preserve">缺口承接区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地缘尾部</t>
    </r>
  </si>
  <si>
    <r>
      <rPr>
        <sz val="11"/>
        <color rgb="FF000000"/>
        <rFont val="Noto Sans CJK SC"/>
        <family val="2"/>
      </rPr>
      <t xml:space="preserve">周一</t>
    </r>
    <r>
      <rPr>
        <sz val="11"/>
        <color rgb="FF000000"/>
        <rFont val="Calibri"/>
        <family val="2"/>
        <charset val="1"/>
      </rPr>
      <t xml:space="preserve">06:45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周五暴跌</t>
    </r>
    <r>
      <rPr>
        <sz val="11"/>
        <color rgb="FF000000"/>
        <rFont val="Calibri"/>
        <family val="2"/>
        <charset val="1"/>
      </rPr>
      <t xml:space="preserve">-3.3%</t>
    </r>
    <r>
      <rPr>
        <sz val="11"/>
        <color rgb="FF000000"/>
        <rFont val="Noto Sans CJK SC"/>
        <family val="2"/>
      </rPr>
      <t xml:space="preserve">后惯性下探</t>
    </r>
    <r>
      <rPr>
        <sz val="11"/>
        <color rgb="FF000000"/>
        <rFont val="Calibri"/>
        <family val="2"/>
        <charset val="1"/>
      </rPr>
      <t xml:space="preserve">4441→4425</t>
    </r>
    <r>
      <rPr>
        <sz val="11"/>
        <color rgb="FF000000"/>
        <rFont val="Noto Sans CJK SC"/>
        <family val="2"/>
      </rPr>
      <t xml:space="preserve">缺口区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急跌次日波幅收敛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央行逢低买盘限制深跌→押中档；昨日档位押小被大档打脸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累计档位</t>
    </r>
    <r>
      <rPr>
        <sz val="11"/>
        <color rgb="FF000000"/>
        <rFont val="Calibri"/>
        <family val="2"/>
        <charset val="1"/>
      </rPr>
      <t xml:space="preserve">2/6),</t>
    </r>
    <r>
      <rPr>
        <sz val="11"/>
        <color rgb="FF000000"/>
        <rFont val="Noto Sans CJK SC"/>
        <family val="2"/>
      </rPr>
      <t xml:space="preserve">本判断基于当日信号独立作出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非追结果式上修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</si>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</sst>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12" t="s">
        <v>44</v>
      </c>
      <c r="E8" s="12" t="s">
        <v>33</v>
      </c>
      <c r="F8" s="12" t="s">
        <v>44</v>
      </c>
      <c r="G8" s="12" t="s">
        <v>33</v>
      </c>
      <c r="H8" s="12" t="s">
        <v>22</v>
      </c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12" t="s">
        <v>55</v>
      </c>
      <c r="P8" s="12" t="s">
        <v>56</v>
      </c>
      <c r="Q8" s="12" t="s">
        <v>57</v>
      </c>
      <c r="R8" s="0" t="n">
        <v>55</v>
      </c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58</v>
      </c>
    </row>
    <row r="3" customFormat="false" ht="15" hidden="false" customHeight="true" outlineLevel="0" collapsed="false">
      <c r="A3" s="14" t="s">
        <v>59</v>
      </c>
      <c r="B3" s="15" t="n">
        <f aca="false">COUNTIF(预测日志!M2:M1000,"√")+COUNTIF(预测日志!M2:M1000,"×")</f>
        <v>6</v>
      </c>
    </row>
    <row r="4" customFormat="false" ht="15" hidden="false" customHeight="true" outlineLevel="0" collapsed="false">
      <c r="A4" s="14" t="s">
        <v>60</v>
      </c>
      <c r="B4" s="15" t="n">
        <f aca="false">COUNTA(预测日志!A2:A1000)</f>
        <v>7</v>
      </c>
    </row>
    <row r="5" customFormat="false" ht="15" hidden="false" customHeight="true" outlineLevel="0" collapsed="false">
      <c r="A5" s="16" t="s">
        <v>61</v>
      </c>
      <c r="B5" s="17" t="n">
        <f aca="false">IFERROR(COUNTIF(预测日志!M2:M1000,"√")/B3,"-")</f>
        <v>0.833333333333333</v>
      </c>
    </row>
    <row r="6" customFormat="false" ht="15" hidden="false" customHeight="true" outlineLevel="0" collapsed="false">
      <c r="A6" s="14" t="s">
        <v>62</v>
      </c>
      <c r="B6" s="18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16" t="s">
        <v>63</v>
      </c>
      <c r="B7" s="17" t="n">
        <f aca="true">IFERROR(COUNTIF(OFFSET(预测日志!$M$1,B3-MIN(30,B3)+1,0,MIN(30,B3),1),"√")/MIN(30,B3),"-")</f>
        <v>0.833333333333333</v>
      </c>
    </row>
    <row r="8" customFormat="false" ht="15" hidden="false" customHeight="true" outlineLevel="0" collapsed="false">
      <c r="A8" s="14" t="s">
        <v>64</v>
      </c>
      <c r="B8" s="18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4" t="s">
        <v>65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0.833333333333333</v>
      </c>
    </row>
    <row r="10" customFormat="false" ht="15" hidden="false" customHeight="true" outlineLevel="0" collapsed="false">
      <c r="A10" s="14" t="s">
        <v>66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67</v>
      </c>
    </row>
    <row r="13" customFormat="false" ht="15" hidden="false" customHeight="true" outlineLevel="0" collapsed="false">
      <c r="A13" s="3" t="s">
        <v>68</v>
      </c>
      <c r="B13" s="1" t="n">
        <f aca="false">COUNT(预测日志!R2:R1000)</f>
        <v>7</v>
      </c>
    </row>
    <row r="14" customFormat="false" ht="15" hidden="false" customHeight="true" outlineLevel="0" collapsed="false">
      <c r="A14" s="3" t="s">
        <v>69</v>
      </c>
      <c r="B14" s="1" t="n">
        <f aca="false">COUNTIFS(预测日志!R2:R1000,"&gt;0",预测日志!M2:M1000,"√")+COUNTIFS(预测日志!R2:R1000,"&gt;0",预测日志!M2:M1000,"×")</f>
        <v>6</v>
      </c>
    </row>
    <row r="15" customFormat="false" ht="15" hidden="false" customHeight="true" outlineLevel="0" collapsed="false">
      <c r="A15" s="3" t="s">
        <v>70</v>
      </c>
      <c r="B15" s="1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72</v>
      </c>
    </row>
    <row r="3" customFormat="false" ht="15" hidden="false" customHeight="true" outlineLevel="0" collapsed="false">
      <c r="A3" s="21" t="s">
        <v>73</v>
      </c>
      <c r="B3" s="22" t="s">
        <v>74</v>
      </c>
    </row>
    <row r="4" customFormat="false" ht="15" hidden="false" customHeight="true" outlineLevel="0" collapsed="false">
      <c r="A4" s="21" t="s">
        <v>75</v>
      </c>
      <c r="B4" s="22" t="s">
        <v>76</v>
      </c>
    </row>
    <row r="5" customFormat="false" ht="15" hidden="false" customHeight="true" outlineLevel="0" collapsed="false">
      <c r="A5" s="21" t="s">
        <v>77</v>
      </c>
      <c r="B5" s="22" t="s">
        <v>78</v>
      </c>
    </row>
    <row r="6" customFormat="false" ht="15" hidden="false" customHeight="true" outlineLevel="0" collapsed="false">
      <c r="A6" s="21" t="s">
        <v>79</v>
      </c>
      <c r="B6" s="22" t="s">
        <v>80</v>
      </c>
    </row>
    <row r="7" customFormat="false" ht="15" hidden="false" customHeight="true" outlineLevel="0" collapsed="false">
      <c r="A7" s="21" t="s">
        <v>81</v>
      </c>
      <c r="B7" s="22" t="s">
        <v>82</v>
      </c>
    </row>
    <row r="8" customFormat="false" ht="15" hidden="false" customHeight="true" outlineLevel="0" collapsed="false">
      <c r="A8" s="21" t="s">
        <v>7</v>
      </c>
      <c r="B8" s="22" t="s">
        <v>83</v>
      </c>
    </row>
    <row r="9" customFormat="false" ht="15" hidden="false" customHeight="true" outlineLevel="0" collapsed="false">
      <c r="A9" s="21" t="s">
        <v>14</v>
      </c>
      <c r="B9" s="22" t="s">
        <v>84</v>
      </c>
    </row>
    <row r="10" customFormat="false" ht="15" hidden="false" customHeight="true" outlineLevel="0" collapsed="false">
      <c r="A10" s="21" t="s">
        <v>85</v>
      </c>
      <c r="B10" s="23" t="s">
        <v>86</v>
      </c>
    </row>
    <row r="11" customFormat="false" ht="15" hidden="false" customHeight="true" outlineLevel="0" collapsed="false">
      <c r="A11" s="21" t="s">
        <v>87</v>
      </c>
      <c r="B11" s="22" t="s">
        <v>88</v>
      </c>
    </row>
    <row r="12" customFormat="false" ht="15" hidden="false" customHeight="true" outlineLevel="0" collapsed="false">
      <c r="A12" s="21" t="s">
        <v>89</v>
      </c>
      <c r="B12" s="23" t="s">
        <v>90</v>
      </c>
    </row>
    <row r="13" customFormat="false" ht="15" hidden="false" customHeight="true" outlineLevel="0" collapsed="false">
      <c r="A13" s="3" t="s">
        <v>17</v>
      </c>
      <c r="B13" s="3" t="s">
        <v>91</v>
      </c>
    </row>
    <row r="14" customFormat="false" ht="15" hidden="false" customHeight="true" outlineLevel="0" collapsed="false">
      <c r="A14" s="3" t="s">
        <v>92</v>
      </c>
      <c r="B14" s="3" t="s">
        <v>93</v>
      </c>
    </row>
    <row r="15" customFormat="false" ht="15" hidden="false" customHeight="true" outlineLevel="0" collapsed="false">
      <c r="A15" s="3" t="s">
        <v>94</v>
      </c>
      <c r="B15" s="1" t="s">
        <v>95</v>
      </c>
    </row>
    <row r="16" customFormat="false" ht="15" hidden="false" customHeight="true" outlineLevel="0" collapsed="false">
      <c r="A16" s="3" t="s">
        <v>96</v>
      </c>
      <c r="B16" s="3" t="s">
        <v>97</v>
      </c>
    </row>
    <row r="17" customFormat="false" ht="15" hidden="false" customHeight="true" outlineLevel="0" collapsed="false">
      <c r="A17" s="3" t="s">
        <v>98</v>
      </c>
      <c r="B17" s="3" t="s">
        <v>99</v>
      </c>
    </row>
    <row r="18" customFormat="false" ht="15" hidden="false" customHeight="true" outlineLevel="0" collapsed="false">
      <c r="A18" s="3" t="s">
        <v>100</v>
      </c>
      <c r="B18" s="3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2026-08-30T22:38:22Z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