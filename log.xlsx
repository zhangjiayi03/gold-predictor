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<sst xmlns="http://schemas.openxmlformats.org/spreadsheetml/2006/main" count="204" uniqueCount="135">
  <si>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</si>
  <si>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</si>
  <si>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</si>
  <si>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</si>
  <si>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</si>
  <si>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</si>
  <si>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</si>
  <si>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</si>
  <si>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</si>
  <si>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</si>
  <si>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</si>
  <si>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</si>
  <si>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</si>
  <si>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</si>
  <si>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</si>
  <si>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</si>
  <si>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</si>
  <si>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</si>
  <si>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</si>
  <si>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</si>
  <si>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</si>
  <si>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</si>
  <si>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</si>
  <si>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</si>
  <si>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</si>
  <si>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</si>
  <si>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</si>
  <si>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</si>
  <si>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</si>
  <si>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</si>
  <si>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</si>
  <si>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</si>
  <si>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</si>
  <si>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</si>
  <si>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</si>
  <si>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</si>
  <si>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</si>
  <si>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</si>
  <si>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</si>
  <si>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</si>
  <si>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</si>
  <si>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</si>
  <si>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</si>
  <si>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</si>
  <si>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</si>
  <si>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t xml:space="preserve">趋势涨(20日+14.75%)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</si>
  <si>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</si>
  <si>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t xml:space="preserve">周四06:32定时执行成功(克隆仓库版)；方向押跌+档位押小:PCE偏热余波+鹰派重定价+年会前观望；基于当日信号独立判断,防追结果式反向修正(昨日双错)</t>
  </si>
  <si>
    <t xml:space="preserve">2026-08-28</t>
  </si>
  <si>
    <t xml:space="preserve">2026-08-28 06:38</t>
  </si>
  <si>
    <t xml:space="preserve">趋势涨(20日+15.76%)</t>
  </si>
  <si>
    <t xml:space="preserve">鹰派重定价延续(偏热PCE后9月加息押注升至约四成)+美元偏强(通胀粘性推升DXY)+技术面转弱(跌破5日/50日均线,MACD负值,RSI45)+20日+15.76%超买获利盘；托底:4594-4596支撑两度承接+PBOC连买21月(7月+19.9t加速,2023年10月以来最大)+委内瑞拉/伊朗地缘避险+CFTC净多回升；今晚沃什年会讲话(约22:00)前波动收敛</t>
  </si>
  <si>
    <t xml:space="preserve">周五06:38定时执行成功(克隆仓库版)；方向押跌+档位押小:鹰派重定价余波+技术面弱势+超买回调,但跌幅收敛企稳(-1.20%→-0.05%)+支撑有力+沃什讲话前观望→押小档；基于当日信号独立判断,非追结果式跟风(昨日双对)</t>
  </si>
  <si>
    <t xml:space="preserve">2026-08-31</t>
  </si>
  <si>
    <t xml:space="preserve">2026-08-31 06:38</t>
  </si>
  <si>
    <t xml:space="preserve">趋势涨(20日+13.32%)</t>
  </si>
  <si>
    <t xml:space="preserve">沃什杰克逊霍尔放鹰(2026加息定价升至50%+)+美元美债收益率走强+技术破位(跌破200日线/4515-4527汇合区,三只乌鸦)+20日+13.32%超买获利盘；托底:PBOC连买21月(7月+19.9吨)+4441-4367缺口承接区+地缘尾部</t>
  </si>
  <si>
    <t xml:space="preserve">周一06:45定时执行成功(克隆仓库版)；方向押跌+档位押中:周五暴跌-3.3%后惯性下探4441→4425缺口区,急跌次日波幅收敛+央行逢低买盘限制深跌→押中档；昨日档位押小被大档打脸(累计档位2/6),本判断基于当日信号独立作出,非追结果式上修</t>
  </si>
  <si>
    <t xml:space="preserve">2026-09-01</t>
  </si>
  <si>
    <t xml:space="preserve">2026-09-01 07:08</t>
  </si>
  <si>
    <t xml:space="preserve">鹰派主线未逆转(2026加息定价50%+美元偏强)+技术压制(200日线4529下方,MACD负值区)→惯性偏弱；托底:4441承接昨日午后实战验证(4444被拉回)+PBOC连买21月(7月+19.9吨)+地缘尾部；空头动能急剧衰竭(-3.31%→-0.19%)但缺反弹催化→低位窄幅整理,押小档</t>
  </si>
  <si>
    <t xml:space="preserve">周二07:06晨间定时执行成功(克隆仓库版)；方向押跌+档位押小:急跌后动能衰竭(-3.3%→-0.19%)+4441承接实战验证+日内区间4441-4473宽度仅0.7%,主线鹰派未逆转但无反弹催化；8/31押中被小档打脸(累计方向6/7、档位2/7),本判断基于当日信号独立作出,非追结果式下修</t>
  </si>
  <si>
    <t xml:space="preserve">2026-09-02</t>
  </si>
  <si>
    <t xml:space="preserve">2026-09-02 06:40</t>
  </si>
  <si>
    <t xml:space="preserve">趋势涨转急跌(20日现货+2.9%已退出超买,10日-3.0%)</t>
  </si>
  <si>
    <t xml:space="preserve">鹰派主线未逆转(9月维持利率概率约54%+2026加息押注近半)+技术破位深化(跌破4370/4346,收于全天低位)→惯性偏空；托底:4313-4335三重支撑汇合(6月平台+50%回撤+8月突破位)+PBOC连买21月(7月+20吨近三年最大)+超买解除(20日现货口径+2.9%&lt;8%阈值)+VIX14.92无流动性冲击；连跌5日-7.3%后首测厚支撑→押跌/中档</t>
  </si>
  <si>
    <t xml:space="preserve">补结算:09-03晨间定时任务未运行漏结算,今晨09-04补;实际价取北京日(06:00-06:00)收盘4386.49(lygxcjg.cn伦敦金日表,该口径与仓库历次06:30实时结算价偏差≤0.4%;另zzcha.com 09-03 04:55实时4388.33、150currency 4385.96互证);基准4329.1→4386.49=+1.33%</t>
  </si>
  <si>
    <t xml:space="preserve">2026-09-04</t>
  </si>
  <si>
    <t xml:space="preserve">2026-09-04 06:45</t>
  </si>
  <si>
    <t xml:space="preserve">趋势涨(20日+7.3%未超买)伴V型反弹(2日连阳+3.4%,未收复200日线)</t>
  </si>
  <si>
    <t xml:space="preserve">沃勒放鸽+ADP疲软→美元走弱,昨夜+2%破9/1高点4461冲4504;PBOC连买21月(7月+20t)+ETF季流入222t托底;两连阳+3.4%后今晚非农(20:30)前波动收敛→押涨/中;风险:非农强劲引发获利兑现回踩4461/4433</t>
  </si>
  <si>
    <t xml:space="preserve">周五06:45晨间定时执行成功(克隆仓库版);方向押涨+档位押中:鸽派催化+技术突破+结构性买盘,但非农事件降档规则触发(原始大档→中);9/2双错(惯性看空遇V反转)后基于当日信号独立判断,非追结果式反向修正</t>
  </si>
  <si>
    <t xml:space="preserve">2026-09-07</t>
  </si>
  <si>
    <t xml:space="preserve">2026-09-07 06:37</t>
  </si>
  <si>
    <t xml:space="preserve">趋势涨(20日+3.46%未超买)伴宽幅整理(8/24见顶4663后急跌,V型反弹4467受阻,未收复200日线4529)</t>
  </si>
  <si>
    <t xml:space="preserve">非农强劲→鹰派重定价+美元近一月高位[部分定价];但周五-2%急跌尾段收复过半+PBOC连买21月(7月+20t近三年最大,总持2366t)+ETF Q2流入222t+20日+3.46%未超买+窗口内无重大事件(Fed决议在窗外)→押涨/中;风险:美元续强失守4400下探4370/4346</t>
  </si>
  <si>
    <t xml:space="preserve">周一06:37晨间定时执行成功(克隆仓库版);方向押涨+档位押中:非农冲击消化+结构性买盘+未超买,Fed会前观望压窄区间但20日均幅1.16%仍高;9/4方向错后基于当日信号独立判断,非追结果式反向修正</t>
  </si>
  <si>
    <t xml:space="preserve">2026-09-08</t>
  </si>
  <si>
    <t xml:space="preserve">2026-09-08 06:35</t>
  </si>
  <si>
    <t xml:space="preserve">趋势涨(20日+3.46%未超买)伴宽幅整理(4410三测不破,V反4467受阻未收复200日线4536)</t>
  </si>
  <si>
    <t xml:space="preserve">地缘避险(美袭委内瑞拉+美伊紧张)+4410三日不破+央行购金21连月托底[部分定价];但鹰派重定价+美元近一月高位+200日线下技术压制,反弹试阻力</t>
  </si>
  <si>
    <t xml:space="preserve">周二06:35晨间定时执行成功(克隆仓库版);方向押涨+档位押中:支撑三测不破+卖压衰竭+避险增量,美元高位压制反弹高度;更正:FOMC实为9/15-16本周三无决议,CPI周五9/11</t>
  </si>
  <si>
    <t xml:space="preserve">2026-09-09</t>
  </si>
  <si>
    <t xml:space="preserve">2026-09-09 06:41</t>
  </si>
  <si>
    <t xml:space="preserve">震荡(20日+1.55%,60日+1.09%自4663回落后重返区间起点)伴短期下行加速(10日-5.60%三连阴破4400,逼近百日线4346)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</si>
  <si>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三测支撑</t>
    </r>
    <r>
      <rPr>
        <sz val="11"/>
        <color rgb="FF000000"/>
        <rFont val="Calibri"/>
        <family val="2"/>
        <charset val="1"/>
      </rPr>
      <t xml:space="preserve">9/8</t>
    </r>
    <r>
      <rPr>
        <sz val="11"/>
        <color rgb="FF000000"/>
        <rFont val="Noto Sans CJK SC"/>
        <family val="2"/>
      </rPr>
      <t xml:space="preserve">破位</t>
    </r>
    <r>
      <rPr>
        <sz val="11"/>
        <color rgb="FF000000"/>
        <rFont val="Calibri"/>
        <family val="2"/>
        <charset val="1"/>
      </rPr>
      <t xml:space="preserve">(-1.23%</t>
    </r>
    <r>
      <rPr>
        <sz val="11"/>
        <color rgb="FF000000"/>
        <rFont val="Noto Sans CJK SC"/>
        <family val="2"/>
      </rPr>
      <t xml:space="preserve">失守</t>
    </r>
    <r>
      <rPr>
        <sz val="11"/>
        <color rgb="FF000000"/>
        <rFont val="Calibri"/>
        <family val="2"/>
        <charset val="1"/>
      </rPr>
      <t xml:space="preserve">4400/4380)+FedWatch 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美元强势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技术阻力最小路径向下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为下一关口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破位看</t>
    </r>
    <r>
      <rPr>
        <sz val="11"/>
        <color rgb="FF000000"/>
        <rFont val="Calibri"/>
        <family val="2"/>
        <charset val="1"/>
      </rPr>
      <t xml:space="preserve">4300)+</t>
    </r>
    <r>
      <rPr>
        <sz val="11"/>
        <color rgb="FF000000"/>
        <rFont val="Noto Sans CJK SC"/>
        <family val="2"/>
      </rPr>
      <t xml:space="preserve">避险溢价回吐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投机持仓撤离；支撑</t>
    </r>
    <r>
      <rPr>
        <sz val="11"/>
        <color rgb="FF000000"/>
        <rFont val="Calibri"/>
        <family val="2"/>
        <charset val="1"/>
      </rPr>
      <t xml:space="preserve">:PBOC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</t>
    </r>
    <r>
      <rPr>
        <sz val="11"/>
        <color rgb="FF000000"/>
        <rFont val="Noto Sans CJK SC"/>
        <family val="2"/>
      </rPr>
      <t xml:space="preserve">逢低接货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百日线首触争夺</t>
    </r>
    <r>
      <rPr>
        <sz val="11"/>
        <color rgb="FF000000"/>
        <rFont val="Calibri"/>
        <family val="2"/>
        <charset val="1"/>
      </rPr>
      <t xml:space="preserve">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-5.6%</t>
    </r>
    <r>
      <rPr>
        <sz val="11"/>
        <color rgb="FF000000"/>
        <rFont val="Noto Sans CJK SC"/>
        <family val="2"/>
      </rPr>
      <t xml:space="preserve">超卖反弹弹性；风险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超跌反弹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地缘再升级</t>
    </r>
  </si>
  <si>
    <t xml:space="preserve">2026-09-10</t>
  </si>
  <si>
    <t xml:space="preserve">2026-09-10 06:46</t>
  </si>
  <si>
    <r>
      <rPr>
        <sz val="11"/>
        <color rgb="FF000000"/>
        <rFont val="Noto Sans CJK SC"/>
        <family val="2"/>
      </rPr>
      <t xml:space="preserve">震荡</t>
    </r>
    <r>
      <rPr>
        <sz val="11"/>
        <color rgb="FF000000"/>
        <rFont val="Calibri"/>
        <family val="2"/>
        <charset val="1"/>
      </rPr>
      <t xml:space="preserve">(20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+1.73%)</t>
    </r>
    <r>
      <rPr>
        <sz val="11"/>
        <color rgb="FF000000"/>
        <rFont val="Noto Sans CJK SC"/>
        <family val="2"/>
      </rPr>
      <t xml:space="preserve">伴超卖反弹启动</t>
    </r>
    <r>
      <rPr>
        <sz val="11"/>
        <color rgb="FF000000"/>
        <rFont val="Calibri"/>
        <family val="2"/>
        <charset val="1"/>
      </rPr>
      <t xml:space="preserve">(9/9+1.08%</t>
    </r>
    <r>
      <rPr>
        <sz val="11"/>
        <color rgb="FF000000"/>
        <rFont val="Noto Sans CJK SC"/>
        <family val="2"/>
      </rPr>
      <t xml:space="preserve">收复</t>
    </r>
    <r>
      <rPr>
        <sz val="11"/>
        <color rgb="FF000000"/>
        <rFont val="Calibri"/>
        <family val="2"/>
        <charset val="1"/>
      </rPr>
      <t xml:space="preserve">4400,10</t>
    </r>
    <r>
      <rPr>
        <sz val="11"/>
        <color rgb="FF000000"/>
        <rFont val="Noto Sans CJK SC"/>
        <family val="2"/>
      </rPr>
      <t xml:space="preserve">日约</t>
    </r>
    <r>
      <rPr>
        <sz val="11"/>
        <color rgb="FF000000"/>
        <rFont val="Calibri"/>
        <family val="2"/>
        <charset val="1"/>
      </rPr>
      <t xml:space="preserve">-4.9%,</t>
    </r>
    <r>
      <rPr>
        <sz val="11"/>
        <color rgb="FF000000"/>
        <rFont val="Noto Sans CJK SC"/>
        <family val="2"/>
      </rPr>
      <t xml:space="preserve">低点</t>
    </r>
    <r>
      <rPr>
        <sz val="11"/>
        <color rgb="FF000000"/>
        <rFont val="Calibri"/>
        <family val="2"/>
        <charset val="1"/>
      </rPr>
      <t xml:space="preserve">4329→4356</t>
    </r>
    <r>
      <rPr>
        <sz val="11"/>
        <color rgb="FF000000"/>
        <rFont val="Noto Sans CJK SC"/>
        <family val="2"/>
      </rPr>
      <t xml:space="preserve">抬高高点</t>
    </r>
    <r>
      <rPr>
        <sz val="11"/>
        <color rgb="FF000000"/>
        <rFont val="Calibri"/>
        <family val="2"/>
        <charset val="1"/>
      </rPr>
      <t xml:space="preserve">4474→4409</t>
    </r>
    <r>
      <rPr>
        <sz val="11"/>
        <color rgb="FF000000"/>
        <rFont val="Noto Sans CJK SC"/>
        <family val="2"/>
      </rPr>
      <t xml:space="preserve">下移收敛三角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</si>
  <si>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原三测支撑变阻力昨夜首触回落</t>
    </r>
    <r>
      <rPr>
        <sz val="11"/>
        <color rgb="FF000000"/>
        <rFont val="Calibri"/>
        <family val="2"/>
        <charset val="1"/>
      </rPr>
      <t xml:space="preserve">(4408.9→4403.7)+</t>
    </r>
    <r>
      <rPr>
        <sz val="11"/>
        <color rgb="FF000000"/>
        <rFont val="Noto Sans CJK SC"/>
        <family val="2"/>
      </rPr>
      <t xml:space="preserve">鹰派主线未逆转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美元近一月高位</t>
    </r>
    <r>
      <rPr>
        <sz val="11"/>
        <color rgb="FF000000"/>
        <rFont val="Calibri"/>
        <family val="2"/>
        <charset val="1"/>
      </rPr>
      <t xml:space="preserve">)+PPI</t>
    </r>
    <r>
      <rPr>
        <sz val="11"/>
        <color rgb="FF000000"/>
        <rFont val="Noto Sans CJK SC"/>
        <family val="2"/>
      </rPr>
      <t xml:space="preserve">今晚</t>
    </r>
    <r>
      <rPr>
        <sz val="11"/>
        <color rgb="FF000000"/>
        <rFont val="Calibri"/>
        <family val="2"/>
        <charset val="1"/>
      </rPr>
      <t xml:space="preserve">20:30</t>
    </r>
    <r>
      <rPr>
        <sz val="11"/>
        <color rgb="FF000000"/>
        <rFont val="Noto Sans CJK SC"/>
        <family val="2"/>
      </rPr>
      <t xml:space="preserve">窗口内</t>
    </r>
    <r>
      <rPr>
        <sz val="11"/>
        <color rgb="FF000000"/>
        <rFont val="Calibri"/>
        <family val="2"/>
        <charset val="1"/>
      </rPr>
      <t xml:space="preserve">+CPI</t>
    </r>
    <r>
      <rPr>
        <sz val="11"/>
        <color rgb="FF000000"/>
        <rFont val="Noto Sans CJK SC"/>
        <family val="2"/>
      </rPr>
      <t xml:space="preserve">明晚</t>
    </r>
    <r>
      <rPr>
        <sz val="11"/>
        <color rgb="FF000000"/>
        <rFont val="Calibri"/>
        <family val="2"/>
        <charset val="1"/>
      </rPr>
      <t xml:space="preserve">+FOMC</t>
    </r>
    <r>
      <rPr>
        <sz val="11"/>
        <color rgb="FF000000"/>
        <rFont val="Noto Sans CJK SC"/>
        <family val="2"/>
      </rPr>
      <t xml:space="preserve">下周三连事件前夜波动收敛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昨日</t>
    </r>
    <r>
      <rPr>
        <sz val="11"/>
        <color rgb="FF000000"/>
        <rFont val="Calibri"/>
        <family val="2"/>
        <charset val="1"/>
      </rPr>
      <t xml:space="preserve">+1.08%</t>
    </r>
    <r>
      <rPr>
        <sz val="11"/>
        <color rgb="FF000000"/>
        <rFont val="Noto Sans CJK SC"/>
        <family val="2"/>
      </rPr>
      <t xml:space="preserve">短线获利盘落袋倾向；托底</t>
    </r>
    <r>
      <rPr>
        <sz val="11"/>
        <color rgb="FF000000"/>
        <rFont val="Calibri"/>
        <family val="2"/>
        <charset val="1"/>
      </rPr>
      <t xml:space="preserve">:RSI30.5</t>
    </r>
    <r>
      <rPr>
        <sz val="11"/>
        <color rgb="FF000000"/>
        <rFont val="Noto Sans CJK SC"/>
        <family val="2"/>
      </rPr>
      <t xml:space="preserve">超卖修复刚启动</t>
    </r>
    <r>
      <rPr>
        <sz val="11"/>
        <color rgb="FF000000"/>
        <rFont val="Calibri"/>
        <family val="2"/>
        <charset val="1"/>
      </rPr>
      <t xml:space="preserve">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+20t)+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首触获承接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低点抬高；押跌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小</t>
    </r>
    <r>
      <rPr>
        <sz val="11"/>
        <color rgb="FF000000"/>
        <rFont val="Calibri"/>
        <family val="2"/>
        <charset val="1"/>
      </rPr>
      <t xml:space="preserve">=</t>
    </r>
    <r>
      <rPr>
        <sz val="11"/>
        <color rgb="FF000000"/>
        <rFont val="Noto Sans CJK SC"/>
        <family val="2"/>
      </rPr>
      <t xml:space="preserve">高位窄幅整理微跌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非赌深跌</t>
    </r>
  </si>
  <si>
    <r>
      <rPr>
        <sz val="11"/>
        <color rgb="FF000000"/>
        <rFont val="Noto Sans CJK SC"/>
        <family val="2"/>
      </rPr>
      <t xml:space="preserve">周四</t>
    </r>
    <r>
      <rPr>
        <sz val="11"/>
        <color rgb="FF000000"/>
        <rFont val="Calibri"/>
        <family val="2"/>
        <charset val="1"/>
      </rPr>
      <t xml:space="preserve">06:46</t>
    </r>
    <r>
      <rPr>
        <sz val="11"/>
        <color rgb="FF000000"/>
        <rFont val="Noto Sans CJK SC"/>
        <family val="2"/>
      </rPr>
      <t xml:space="preserve">晨间定时执行成功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克隆仓库版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；方向押跌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档位押小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连续四日方向错</t>
    </r>
    <r>
      <rPr>
        <sz val="11"/>
        <color rgb="FF000000"/>
        <rFont val="Calibri"/>
        <family val="2"/>
        <charset val="1"/>
      </rPr>
      <t xml:space="preserve">(9/4</t>
    </r>
    <r>
      <rPr>
        <sz val="11"/>
        <color rgb="FF000000"/>
        <rFont val="Noto Sans CJK SC"/>
        <family val="2"/>
      </rPr>
      <t xml:space="preserve">、</t>
    </r>
    <r>
      <rPr>
        <sz val="11"/>
        <color rgb="FF000000"/>
        <rFont val="Calibri"/>
        <family val="2"/>
        <charset val="1"/>
      </rPr>
      <t xml:space="preserve">9/7</t>
    </r>
    <r>
      <rPr>
        <sz val="11"/>
        <color rgb="FF000000"/>
        <rFont val="Noto Sans CJK SC"/>
        <family val="2"/>
      </rPr>
      <t xml:space="preserve">、</t>
    </r>
    <r>
      <rPr>
        <sz val="11"/>
        <color rgb="FF000000"/>
        <rFont val="Calibri"/>
        <family val="2"/>
        <charset val="1"/>
      </rPr>
      <t xml:space="preserve">9/8</t>
    </r>
    <r>
      <rPr>
        <sz val="11"/>
        <color rgb="FF000000"/>
        <rFont val="Noto Sans CJK SC"/>
        <family val="2"/>
      </rPr>
      <t xml:space="preserve">、</t>
    </r>
    <r>
      <rPr>
        <sz val="11"/>
        <color rgb="FF000000"/>
        <rFont val="Calibri"/>
        <family val="2"/>
        <charset val="1"/>
      </rPr>
      <t xml:space="preserve">9/9)</t>
    </r>
    <r>
      <rPr>
        <sz val="11"/>
        <color rgb="FF000000"/>
        <rFont val="Noto Sans CJK SC"/>
        <family val="2"/>
      </rPr>
      <t xml:space="preserve">后本判断基于当日信号独立作出——昨夜</t>
    </r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阻力首触回落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三连事件前夜收敛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鹰派主线未变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同时超卖修复与央行买盘限制深跌→押反弹衰竭微跌整理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非追结果式反向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未翻多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；累计方向</t>
    </r>
    <r>
      <rPr>
        <sz val="11"/>
        <color rgb="FF000000"/>
        <rFont val="Calibri"/>
        <family val="2"/>
        <charset val="1"/>
      </rPr>
      <t xml:space="preserve">7/13</t>
    </r>
    <r>
      <rPr>
        <sz val="11"/>
        <color rgb="FF000000"/>
        <rFont val="Noto Sans CJK SC"/>
        <family val="2"/>
      </rPr>
      <t xml:space="preserve">、档位</t>
    </r>
    <r>
      <rPr>
        <sz val="11"/>
        <color rgb="FF000000"/>
        <rFont val="Calibri"/>
        <family val="2"/>
        <charset val="1"/>
      </rPr>
      <t xml:space="preserve">4/13</t>
    </r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</si>
  <si>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</si>
  <si>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</si>
  <si>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</si>
  <si>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</si>
  <si>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</si>
  <si>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</si>
  <si>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</si>
  <si>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</si>
  <si>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</si>
  <si>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</si>
  <si>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</si>
  <si>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</si>
  <si>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</si>
  <si>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</si>
  <si>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</si>
  <si>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</si>
  <si>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</si>
  <si>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</si>
  <si>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</si>
  <si>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</si>
  <si>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</si>
  <si>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</si>
  <si>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</si>
  <si>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</si>
  <si>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</si>
  <si>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</si>
  <si>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</si>
  <si>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</si>
  <si>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</si>
  <si>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</si>
  <si>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</si>
  <si>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</si>
  <si>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</si>
  <si>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</si>
  <si>
    <t xml:space="preserve">短期超买指标</t>
  </si>
  <si>
    <t xml:space="preserve"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</si>
  <si>
    <t xml:space="preserve">流动性冲击信号</t>
  </si>
  <si>
    <r>
      <rPr>
        <sz val="11"/>
        <color rgb="FF000000"/>
        <rFont val="Calibri"/>
        <family val="2"/>
        <charset val="1"/>
      </rPr>
      <t xml:space="preserve">VIX</t>
    </r>
    <r>
      <rPr>
        <sz val="11"/>
        <color rgb="FF000000"/>
        <rFont val="Noto Sans CJK SC"/>
        <family val="2"/>
      </rPr>
      <t xml:space="preserve">单日飙升超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金价同步下跌→标记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流动性冲击模式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，档位额外上调一档；全球主要股指连跌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+→"</t>
    </r>
    <r>
      <rPr>
        <sz val="11"/>
        <color rgb="FF000000"/>
        <rFont val="Noto Sans CJK SC"/>
        <family val="2"/>
      </rPr>
      <t xml:space="preserve">流动性冲击预警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，方向偏空先验提升。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</si>
  <si>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市况分层标签</t>
  </si>
  <si>
    <t xml:space="preserve">市况标签拆为"长期趋势(60日方向)+短期状态(10日动能)"，两者背离时报告提示"长期看多但短期调整"。2026-08-27增设</t>
  </si>
  <si>
    <t xml:space="preserve">信号定价度</t>
  </si>
  <si>
    <t xml:space="preserve">报告信号分解每条标注[已定价]/[部分定价]/[未释放]，区分已被市场消化的利好与尚未释放的利空。2026-08-27增设</t>
  </si>
  <si>
    <t xml:space="preserve">场景树</t>
  </si>
  <si>
    <t xml:space="preserve">报告人工审核区含2-3条条件路径（触发条件+概率+结果档位），供人工审核快速定位。2026-08-27增设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</si>
</sst>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%"/>
    <numFmt numFmtId="167" formatCode="General"/>
    <numFmt numFmtId="168" formatCode="0.0%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sz val="11"/>
      <name val="Calibri"/>
      <family val="0"/>
      <charset val="1"/>
    </font>
    <font>
      <sz val="11"/>
      <name val="Noto Sans CJK SC"/>
      <family val="0"/>
      <charset val="1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6" t="s">
        <v>44</v>
      </c>
      <c r="E6" s="6" t="s">
        <v>38</v>
      </c>
      <c r="F6" s="6" t="s">
        <v>44</v>
      </c>
      <c r="G6" s="6" t="s">
        <v>38</v>
      </c>
      <c r="H6" s="6" t="s">
        <v>22</v>
      </c>
      <c r="I6" s="5" t="n">
        <v>4609.2</v>
      </c>
      <c r="J6" s="7" t="n">
        <f aca="false">IF(OR(I6="",C6=""),"",(I6-C6)/C6)</f>
        <v>-0.000498753117207022</v>
      </c>
      <c r="K6" s="4" t="str">
        <f aca="false">IF(J6="","",IF(J6&gt;0,"涨",IF(J6&lt;0,"跌","平")))</f>
        <v>跌</v>
      </c>
      <c r="L6" s="4" t="str">
        <f aca="false">IF(J6="","",IF(ABS(J6)&lt;=0.003,"小",IF(ABS(J6)&lt;=0.01,"中","大")))</f>
        <v>小</v>
      </c>
      <c r="M6" s="4" t="str">
        <f aca="false">IF(OR(D6="",K6=""),"",IF(D6=K6,"√","×"))</f>
        <v>√</v>
      </c>
      <c r="N6" s="4" t="str">
        <f aca="false">IF(OR(E6="",L6=""),"",IF(E6=L6,"√","×"))</f>
        <v>√</v>
      </c>
      <c r="O6" s="6" t="s">
        <v>45</v>
      </c>
      <c r="P6" s="4" t="s">
        <v>46</v>
      </c>
      <c r="Q6" s="6" t="s">
        <v>47</v>
      </c>
      <c r="R6" s="1" t="n">
        <v>55</v>
      </c>
    </row>
    <row r="7" customFormat="false" ht="15" hidden="false" customHeight="true" outlineLevel="0" collapsed="false">
      <c r="A7" s="8" t="s">
        <v>48</v>
      </c>
      <c r="B7" s="8" t="s">
        <v>49</v>
      </c>
      <c r="C7" s="9" t="n">
        <v>4608.8</v>
      </c>
      <c r="D7" s="10" t="s">
        <v>44</v>
      </c>
      <c r="E7" s="10" t="s">
        <v>38</v>
      </c>
      <c r="F7" s="10" t="s">
        <v>44</v>
      </c>
      <c r="G7" s="10" t="s">
        <v>38</v>
      </c>
      <c r="H7" s="10" t="s">
        <v>22</v>
      </c>
      <c r="I7" s="9" t="n">
        <v>4456.4</v>
      </c>
      <c r="J7" s="11" t="n">
        <f aca="false">IF(OR(I7="",C7=""),"",(I7-C7)/C7)</f>
        <v>-0.0330671758375283</v>
      </c>
      <c r="K7" s="8" t="str">
        <f aca="false">IF(J7="","",IF(J7&gt;0,"涨",IF(J7&lt;0,"跌","平")))</f>
        <v>跌</v>
      </c>
      <c r="L7" s="8" t="str">
        <f aca="false">IF(J7="","",IF(ABS(J7)&lt;=0.003,"小",IF(ABS(J7)&lt;=0.01,"中","大")))</f>
        <v>大</v>
      </c>
      <c r="M7" s="8" t="str">
        <f aca="false">IF(OR(D7="",K7=""),"",IF(D7=K7,"√","×"))</f>
        <v>√</v>
      </c>
      <c r="N7" s="8" t="str">
        <f aca="false">IF(OR(E7="",L7=""),"",IF(E7=L7,"√","×"))</f>
        <v>×</v>
      </c>
      <c r="O7" s="10" t="s">
        <v>50</v>
      </c>
      <c r="P7" s="10" t="s">
        <v>51</v>
      </c>
      <c r="Q7" s="10" t="s">
        <v>52</v>
      </c>
      <c r="R7" s="1" t="n">
        <v>55</v>
      </c>
    </row>
    <row r="8" customFormat="false" ht="15" hidden="false" customHeight="true" outlineLevel="0" collapsed="false">
      <c r="A8" s="4" t="s">
        <v>53</v>
      </c>
      <c r="B8" s="4" t="s">
        <v>54</v>
      </c>
      <c r="C8" s="5" t="n">
        <v>4459.5</v>
      </c>
      <c r="D8" s="6" t="s">
        <v>44</v>
      </c>
      <c r="E8" s="6" t="s">
        <v>33</v>
      </c>
      <c r="F8" s="6" t="s">
        <v>44</v>
      </c>
      <c r="G8" s="6" t="s">
        <v>33</v>
      </c>
      <c r="H8" s="6" t="s">
        <v>22</v>
      </c>
      <c r="I8" s="5" t="n">
        <v>4450.9</v>
      </c>
      <c r="J8" s="7" t="n">
        <f aca="false">IF(OR(I8="",C8=""),"",(I8-C8)/C8)</f>
        <v>-0.00192846731696387</v>
      </c>
      <c r="K8" s="4" t="str">
        <f aca="false">IF(J8="","",IF(J8&gt;0,"涨",IF(J8&lt;0,"跌","平")))</f>
        <v>跌</v>
      </c>
      <c r="L8" s="4" t="str">
        <f aca="false">IF(J8="","",IF(ABS(J8)&lt;=0.003,"小",IF(ABS(J8)&lt;=0.01,"中","大")))</f>
        <v>小</v>
      </c>
      <c r="M8" s="4" t="str">
        <f aca="false">IF(OR(D8="",K8=""),"",IF(D8=K8,"√","×"))</f>
        <v>√</v>
      </c>
      <c r="N8" s="4" t="str">
        <f aca="false">IF(OR(E8="",L8=""),"",IF(E8=L8,"√","×"))</f>
        <v>×</v>
      </c>
      <c r="O8" s="6" t="s">
        <v>55</v>
      </c>
      <c r="P8" s="6" t="s">
        <v>56</v>
      </c>
      <c r="Q8" s="6" t="s">
        <v>57</v>
      </c>
      <c r="R8" s="1" t="n">
        <v>55</v>
      </c>
    </row>
    <row r="9" customFormat="false" ht="15" hidden="false" customHeight="true" outlineLevel="0" collapsed="false">
      <c r="A9" s="8" t="s">
        <v>58</v>
      </c>
      <c r="B9" s="8" t="s">
        <v>59</v>
      </c>
      <c r="C9" s="9" t="n">
        <v>4451.7</v>
      </c>
      <c r="D9" s="10" t="s">
        <v>44</v>
      </c>
      <c r="E9" s="10" t="s">
        <v>38</v>
      </c>
      <c r="F9" s="10" t="s">
        <v>44</v>
      </c>
      <c r="G9" s="10" t="s">
        <v>38</v>
      </c>
      <c r="H9" s="10" t="s">
        <v>22</v>
      </c>
      <c r="I9" s="9" t="n">
        <v>4329.1</v>
      </c>
      <c r="J9" s="11" t="n">
        <f aca="false">IF(OR(I9="",C9=""),"",(I9-C9)/C9)</f>
        <v>-0.027540040883258</v>
      </c>
      <c r="K9" s="8" t="str">
        <f aca="false">IF(J9="","",IF(J9&gt;0,"涨",IF(J9&lt;0,"跌","平")))</f>
        <v>跌</v>
      </c>
      <c r="L9" s="8" t="str">
        <f aca="false">IF(J9="","",IF(ABS(J9)&lt;=0.003,"小",IF(ABS(J9)&lt;=0.01,"中","大")))</f>
        <v>大</v>
      </c>
      <c r="M9" s="8" t="str">
        <f aca="false">IF(OR(D9="",K9=""),"",IF(D9=K9,"√","×"))</f>
        <v>√</v>
      </c>
      <c r="N9" s="8" t="str">
        <f aca="false">IF(OR(E9="",L9=""),"",IF(E9=L9,"√","×"))</f>
        <v>×</v>
      </c>
      <c r="O9" s="10" t="s">
        <v>55</v>
      </c>
      <c r="P9" s="10" t="s">
        <v>60</v>
      </c>
      <c r="Q9" s="10" t="s">
        <v>61</v>
      </c>
      <c r="R9" s="1" t="n">
        <v>55</v>
      </c>
    </row>
    <row r="10" customFormat="false" ht="15" hidden="false" customHeight="true" outlineLevel="0" collapsed="false">
      <c r="A10" s="4" t="s">
        <v>62</v>
      </c>
      <c r="B10" s="4" t="s">
        <v>63</v>
      </c>
      <c r="C10" s="5" t="n">
        <v>4329.1</v>
      </c>
      <c r="D10" s="6" t="s">
        <v>44</v>
      </c>
      <c r="E10" s="6" t="s">
        <v>33</v>
      </c>
      <c r="F10" s="6" t="s">
        <v>44</v>
      </c>
      <c r="G10" s="6" t="s">
        <v>33</v>
      </c>
      <c r="H10" s="6" t="s">
        <v>22</v>
      </c>
      <c r="I10" s="5" t="n">
        <v>4386.49</v>
      </c>
      <c r="J10" s="7" t="n">
        <f aca="false">IF(OR(I10="",C10=""),"",(I10-C10)/C10)</f>
        <v>0.0132567970247856</v>
      </c>
      <c r="K10" s="4" t="str">
        <f aca="false">IF(J10="","",IF(J10&gt;0,"涨",IF(J10&lt;0,"跌","平")))</f>
        <v>涨</v>
      </c>
      <c r="L10" s="4" t="str">
        <f aca="false">IF(J10="","",IF(ABS(J10)&lt;=0.003,"小",IF(ABS(J10)&lt;=0.01,"中","大")))</f>
        <v>大</v>
      </c>
      <c r="M10" s="4" t="str">
        <f aca="false">IF(OR(D10="",K10=""),"",IF(D10=K10,"√","×"))</f>
        <v>×</v>
      </c>
      <c r="N10" s="4" t="str">
        <f aca="false">IF(OR(E10="",L10=""),"",IF(E10=L10,"√","×"))</f>
        <v>×</v>
      </c>
      <c r="O10" s="6" t="s">
        <v>64</v>
      </c>
      <c r="P10" s="6" t="s">
        <v>65</v>
      </c>
      <c r="Q10" s="6" t="s">
        <v>66</v>
      </c>
      <c r="R10" s="1" t="n">
        <v>55</v>
      </c>
    </row>
    <row r="11" customFormat="false" ht="15" hidden="false" customHeight="true" outlineLevel="0" collapsed="false">
      <c r="A11" s="8" t="s">
        <v>67</v>
      </c>
      <c r="B11" s="8" t="s">
        <v>68</v>
      </c>
      <c r="C11" s="9" t="n">
        <v>4474</v>
      </c>
      <c r="D11" s="10" t="s">
        <v>20</v>
      </c>
      <c r="E11" s="10" t="s">
        <v>33</v>
      </c>
      <c r="F11" s="10" t="s">
        <v>20</v>
      </c>
      <c r="G11" s="10" t="s">
        <v>33</v>
      </c>
      <c r="H11" s="10" t="s">
        <v>22</v>
      </c>
      <c r="I11" s="9" t="n">
        <v>4431.1</v>
      </c>
      <c r="J11" s="11" t="n">
        <f aca="false">IF(OR(I11="",C11=""),"",(I11-C11)/C11)</f>
        <v>-0.0095887349128296</v>
      </c>
      <c r="K11" s="8" t="str">
        <f aca="false">IF(J11="","",IF(J11&gt;0,"涨",IF(J11&lt;0,"跌","平")))</f>
        <v>跌</v>
      </c>
      <c r="L11" s="8" t="str">
        <f aca="false">IF(J11="","",IF(ABS(J11)&lt;=0.003,"小",IF(ABS(J11)&lt;=0.01,"中","大")))</f>
        <v>中</v>
      </c>
      <c r="M11" s="8" t="str">
        <f aca="false">IF(OR(D11="",K11=""),"",IF(D11=K11,"√","×"))</f>
        <v>×</v>
      </c>
      <c r="N11" s="8" t="str">
        <f aca="false">IF(OR(E11="",L11=""),"",IF(E11=L11,"√","×"))</f>
        <v>√</v>
      </c>
      <c r="O11" s="10" t="s">
        <v>69</v>
      </c>
      <c r="P11" s="10" t="s">
        <v>70</v>
      </c>
      <c r="Q11" s="10" t="s">
        <v>71</v>
      </c>
      <c r="R11" s="1" t="n">
        <v>60</v>
      </c>
    </row>
    <row r="12" customFormat="false" ht="15" hidden="false" customHeight="true" outlineLevel="0" collapsed="false">
      <c r="A12" s="12" t="s">
        <v>72</v>
      </c>
      <c r="B12" s="12" t="s">
        <v>73</v>
      </c>
      <c r="C12" s="13" t="n">
        <v>4429.3</v>
      </c>
      <c r="D12" s="14" t="s">
        <v>20</v>
      </c>
      <c r="E12" s="14" t="s">
        <v>33</v>
      </c>
      <c r="F12" s="14" t="s">
        <v>20</v>
      </c>
      <c r="G12" s="14" t="s">
        <v>33</v>
      </c>
      <c r="H12" s="14" t="s">
        <v>22</v>
      </c>
      <c r="I12" s="5" t="n">
        <v>4410.2</v>
      </c>
      <c r="J12" s="7" t="n">
        <f aca="false">IF(OR(I12="",C12=""),"",(I12-C12)/C12)</f>
        <v>-0.00431219380037486</v>
      </c>
      <c r="K12" s="4" t="str">
        <f aca="false">IF(J12="","",IF(J12&gt;0,"涨",IF(J12&lt;0,"跌","平")))</f>
        <v>跌</v>
      </c>
      <c r="L12" s="4" t="str">
        <f aca="false">IF(J12="","",IF(ABS(J12)&lt;=0.003,"小",IF(ABS(J12)&lt;=0.01,"中","大")))</f>
        <v>中</v>
      </c>
      <c r="M12" s="4" t="str">
        <f aca="false">IF(OR(D12="",K12=""),"",IF(D12=K12,"√","×"))</f>
        <v>×</v>
      </c>
      <c r="N12" s="4" t="str">
        <f aca="false">IF(OR(E12="",L12=""),"",IF(E12=L12,"√","×"))</f>
        <v>√</v>
      </c>
      <c r="O12" s="14" t="s">
        <v>74</v>
      </c>
      <c r="P12" s="14" t="s">
        <v>75</v>
      </c>
      <c r="Q12" s="14" t="s">
        <v>76</v>
      </c>
      <c r="R12" s="15" t="n">
        <v>55</v>
      </c>
    </row>
    <row r="13" customFormat="false" ht="15" hidden="false" customHeight="true" outlineLevel="0" collapsed="false">
      <c r="A13" s="8" t="s">
        <v>77</v>
      </c>
      <c r="B13" s="8" t="s">
        <v>78</v>
      </c>
      <c r="C13" s="9" t="n">
        <v>4410.2</v>
      </c>
      <c r="D13" s="10" t="s">
        <v>20</v>
      </c>
      <c r="E13" s="10" t="s">
        <v>33</v>
      </c>
      <c r="F13" s="10" t="s">
        <v>20</v>
      </c>
      <c r="G13" s="10" t="s">
        <v>33</v>
      </c>
      <c r="H13" s="10" t="s">
        <v>22</v>
      </c>
      <c r="I13" s="9" t="n">
        <v>4356</v>
      </c>
      <c r="J13" s="11" t="n">
        <f aca="false">IF(OR(I13="",C13=""),"",(I13-C13)/C13)</f>
        <v>-0.0122896920774568</v>
      </c>
      <c r="K13" s="8" t="str">
        <f aca="false">IF(J13="","",IF(J13&gt;0,"涨",IF(J13&lt;0,"跌","平")))</f>
        <v>跌</v>
      </c>
      <c r="L13" s="8" t="str">
        <f aca="false">IF(J13="","",IF(ABS(J13)&lt;=0.003,"小",IF(ABS(J13)&lt;=0.01,"中","大")))</f>
        <v>大</v>
      </c>
      <c r="M13" s="8" t="str">
        <f aca="false">IF(OR(D13="",K13=""),"",IF(D13=K13,"√","×"))</f>
        <v>×</v>
      </c>
      <c r="N13" s="8" t="str">
        <f aca="false">IF(OR(E13="",L13=""),"",IF(E13=L13,"√","×"))</f>
        <v>×</v>
      </c>
      <c r="O13" s="10" t="s">
        <v>79</v>
      </c>
      <c r="P13" s="10" t="s">
        <v>80</v>
      </c>
      <c r="Q13" s="10" t="s">
        <v>81</v>
      </c>
      <c r="R13" s="1" t="n">
        <v>55</v>
      </c>
    </row>
    <row r="14" customFormat="false" ht="15" hidden="false" customHeight="true" outlineLevel="0" collapsed="false">
      <c r="A14" s="4" t="s">
        <v>82</v>
      </c>
      <c r="B14" s="4" t="s">
        <v>83</v>
      </c>
      <c r="C14" s="5" t="n">
        <v>4356.7</v>
      </c>
      <c r="D14" s="6" t="s">
        <v>44</v>
      </c>
      <c r="E14" s="6" t="s">
        <v>33</v>
      </c>
      <c r="F14" s="6" t="s">
        <v>44</v>
      </c>
      <c r="G14" s="6" t="s">
        <v>33</v>
      </c>
      <c r="H14" s="6" t="s">
        <v>22</v>
      </c>
      <c r="I14" s="5" t="n">
        <v>4403.7</v>
      </c>
      <c r="J14" s="7" t="n">
        <f aca="false">IF(OR(I14="",C14=""),"",(I14-C14)/C14)</f>
        <v>0.0107879817292905</v>
      </c>
      <c r="K14" s="4" t="str">
        <f aca="false">IF(J14="","",IF(J14&gt;0,"涨",IF(J14&lt;0,"跌","平")))</f>
        <v>涨</v>
      </c>
      <c r="L14" s="4" t="str">
        <f aca="false">IF(J14="","",IF(ABS(J14)&lt;=0.003,"小",IF(ABS(J14)&lt;=0.01,"中","大")))</f>
        <v>大</v>
      </c>
      <c r="M14" s="4" t="str">
        <f aca="false">IF(OR(D14="",K14=""),"",IF(D14=K14,"√","×"))</f>
        <v>×</v>
      </c>
      <c r="N14" s="4" t="str">
        <f aca="false">IF(OR(E14="",L14=""),"",IF(E14=L14,"√","×"))</f>
        <v>×</v>
      </c>
      <c r="O14" s="6" t="s">
        <v>84</v>
      </c>
      <c r="P14" s="4" t="s">
        <v>85</v>
      </c>
      <c r="Q14" s="4"/>
      <c r="R14" s="1" t="n">
        <v>60</v>
      </c>
    </row>
    <row r="15" customFormat="false" ht="15" hidden="false" customHeight="true" outlineLevel="0" collapsed="false">
      <c r="A15" s="8" t="s">
        <v>86</v>
      </c>
      <c r="B15" s="8" t="s">
        <v>87</v>
      </c>
      <c r="C15" s="9" t="n">
        <v>4403.7</v>
      </c>
      <c r="D15" s="16" t="s">
        <v>44</v>
      </c>
      <c r="E15" s="16" t="s">
        <v>38</v>
      </c>
      <c r="F15" s="16" t="s">
        <v>44</v>
      </c>
      <c r="G15" s="16" t="s">
        <v>38</v>
      </c>
      <c r="H15" s="16" t="s">
        <v>22</v>
      </c>
      <c r="I15" s="9"/>
      <c r="J15" s="11" t="str">
        <f aca="false">IF(OR(I15="",C15=""),"",(I15-C15)/C15)</f>
        <v/>
      </c>
      <c r="K15" s="8" t="str">
        <f aca="false">IF(J15="","",IF(J15&gt;0,"涨",IF(J15&lt;0,"跌","平")))</f>
        <v/>
      </c>
      <c r="L15" s="8" t="str">
        <f aca="false">IF(J15="","",IF(ABS(J15)&lt;=0.003,"小",IF(ABS(J15)&lt;=0.01,"中","大")))</f>
        <v/>
      </c>
      <c r="M15" s="8" t="str">
        <f aca="false">IF(OR(D15="",K15=""),"",IF(D15=K15,"√","×"))</f>
        <v/>
      </c>
      <c r="N15" s="8" t="str">
        <f aca="false">IF(OR(E15="",L15=""),"",IF(E15=L15,"√","×"))</f>
        <v/>
      </c>
      <c r="O15" s="16" t="s">
        <v>88</v>
      </c>
      <c r="P15" s="8" t="s">
        <v>89</v>
      </c>
      <c r="Q15" s="16" t="s">
        <v>90</v>
      </c>
      <c r="R15" s="0" t="n">
        <v>55</v>
      </c>
    </row>
    <row r="16" customFormat="false" ht="15" hidden="false" customHeight="true" outlineLevel="0" collapsed="false">
      <c r="A16" s="4"/>
      <c r="B16" s="4"/>
      <c r="C16" s="5"/>
      <c r="D16" s="4"/>
      <c r="E16" s="4"/>
      <c r="F16" s="4"/>
      <c r="G16" s="4"/>
      <c r="H16" s="4"/>
      <c r="I16" s="5"/>
      <c r="J16" s="7" t="str">
        <f aca="false">IF(OR(I16="",C16=""),"",(I16-C16)/C16)</f>
        <v/>
      </c>
      <c r="K16" s="4" t="str">
        <f aca="false">IF(J16="","",IF(J16&gt;0,"涨",IF(J16&lt;0,"跌","平")))</f>
        <v/>
      </c>
      <c r="L16" s="4" t="str">
        <f aca="false">IF(J16="","",IF(ABS(J16)&lt;=0.003,"小",IF(ABS(J16)&lt;=0.01,"中","大")))</f>
        <v/>
      </c>
      <c r="M16" s="4" t="str">
        <f aca="false">IF(OR(D16="",K16=""),"",IF(D16=K16,"√","×"))</f>
        <v/>
      </c>
      <c r="N16" s="4" t="str">
        <f aca="false">IF(OR(E16="",L16=""),"",IF(E16=L16,"√","×"))</f>
        <v/>
      </c>
      <c r="O16" s="4"/>
      <c r="P16" s="4"/>
      <c r="Q16" s="4"/>
    </row>
    <row r="17" customFormat="false" ht="15" hidden="false" customHeight="true" outlineLevel="0" collapsed="false">
      <c r="A17" s="8"/>
      <c r="B17" s="8"/>
      <c r="C17" s="9"/>
      <c r="D17" s="8"/>
      <c r="E17" s="8"/>
      <c r="F17" s="8"/>
      <c r="G17" s="8"/>
      <c r="H17" s="8"/>
      <c r="I17" s="9"/>
      <c r="J17" s="11" t="str">
        <f aca="false">IF(OR(I17="",C17=""),"",(I17-C17)/C17)</f>
        <v/>
      </c>
      <c r="K17" s="8" t="str">
        <f aca="false">IF(J17="","",IF(J17&gt;0,"涨",IF(J17&lt;0,"跌","平")))</f>
        <v/>
      </c>
      <c r="L17" s="8" t="str">
        <f aca="false">IF(J17="","",IF(ABS(J17)&lt;=0.003,"小",IF(ABS(J17)&lt;=0.01,"中","大")))</f>
        <v/>
      </c>
      <c r="M17" s="8" t="str">
        <f aca="false">IF(OR(D17="",K17=""),"",IF(D17=K17,"√","×"))</f>
        <v/>
      </c>
      <c r="N17" s="8" t="str">
        <f aca="false">IF(OR(E17="",L17=""),"",IF(E17=L17,"√","×"))</f>
        <v/>
      </c>
      <c r="O17" s="8"/>
      <c r="P17" s="8"/>
      <c r="Q17" s="8"/>
    </row>
    <row r="18" customFormat="false" ht="15" hidden="false" customHeight="true" outlineLevel="0" collapsed="false">
      <c r="A18" s="4"/>
      <c r="B18" s="4"/>
      <c r="C18" s="5"/>
      <c r="D18" s="4"/>
      <c r="E18" s="4"/>
      <c r="F18" s="4"/>
      <c r="G18" s="4"/>
      <c r="H18" s="4"/>
      <c r="I18" s="5"/>
      <c r="J18" s="7" t="str">
        <f aca="false">IF(OR(I18="",C18=""),"",(I18-C18)/C18)</f>
        <v/>
      </c>
      <c r="K18" s="4" t="str">
        <f aca="false">IF(J18="","",IF(J18&gt;0,"涨",IF(J18&lt;0,"跌","平")))</f>
        <v/>
      </c>
      <c r="L18" s="4" t="str">
        <f aca="false">IF(J18="","",IF(ABS(J18)&lt;=0.003,"小",IF(ABS(J18)&lt;=0.01,"中","大")))</f>
        <v/>
      </c>
      <c r="M18" s="4" t="str">
        <f aca="false">IF(OR(D18="",K18=""),"",IF(D18=K18,"√","×"))</f>
        <v/>
      </c>
      <c r="N18" s="4" t="str">
        <f aca="false">IF(OR(E18="",L18=""),"",IF(E18=L18,"√","×"))</f>
        <v/>
      </c>
      <c r="O18" s="4"/>
      <c r="P18" s="4"/>
      <c r="Q18" s="4"/>
    </row>
    <row r="19" customFormat="false" ht="15" hidden="false" customHeight="true" outlineLevel="0" collapsed="false">
      <c r="A19" s="8"/>
      <c r="B19" s="8"/>
      <c r="C19" s="9"/>
      <c r="D19" s="8"/>
      <c r="E19" s="8"/>
      <c r="F19" s="8"/>
      <c r="G19" s="8"/>
      <c r="H19" s="8"/>
      <c r="I19" s="9"/>
      <c r="J19" s="11" t="str">
        <f aca="false">IF(OR(I19="",C19=""),"",(I19-C19)/C19)</f>
        <v/>
      </c>
      <c r="K19" s="8" t="str">
        <f aca="false">IF(J19="","",IF(J19&gt;0,"涨",IF(J19&lt;0,"跌","平")))</f>
        <v/>
      </c>
      <c r="L19" s="8" t="str">
        <f aca="false">IF(J19="","",IF(ABS(J19)&lt;=0.003,"小",IF(ABS(J19)&lt;=0.01,"中","大")))</f>
        <v/>
      </c>
      <c r="M19" s="8" t="str">
        <f aca="false">IF(OR(D19="",K19=""),"",IF(D19=K19,"√","×"))</f>
        <v/>
      </c>
      <c r="N19" s="8" t="str">
        <f aca="false">IF(OR(E19="",L19=""),"",IF(E19=L19,"√","×"))</f>
        <v/>
      </c>
      <c r="O19" s="8"/>
      <c r="P19" s="8"/>
      <c r="Q19" s="8"/>
    </row>
    <row r="20" customFormat="false" ht="15" hidden="false" customHeight="true" outlineLevel="0" collapsed="false">
      <c r="A20" s="4"/>
      <c r="B20" s="4"/>
      <c r="C20" s="5"/>
      <c r="D20" s="4"/>
      <c r="E20" s="4"/>
      <c r="F20" s="4"/>
      <c r="G20" s="4"/>
      <c r="H20" s="4"/>
      <c r="I20" s="5"/>
      <c r="J20" s="7" t="str">
        <f aca="false">IF(OR(I20="",C20=""),"",(I20-C20)/C20)</f>
        <v/>
      </c>
      <c r="K20" s="4" t="str">
        <f aca="false">IF(J20="","",IF(J20&gt;0,"涨",IF(J20&lt;0,"跌","平")))</f>
        <v/>
      </c>
      <c r="L20" s="4" t="str">
        <f aca="false">IF(J20="","",IF(ABS(J20)&lt;=0.003,"小",IF(ABS(J20)&lt;=0.01,"中","大")))</f>
        <v/>
      </c>
      <c r="M20" s="4" t="str">
        <f aca="false">IF(OR(D20="",K20=""),"",IF(D20=K20,"√","×"))</f>
        <v/>
      </c>
      <c r="N20" s="4" t="str">
        <f aca="false">IF(OR(E20="",L20=""),"",IF(E20=L20,"√","×"))</f>
        <v/>
      </c>
      <c r="O20" s="4"/>
      <c r="P20" s="4"/>
      <c r="Q20" s="4"/>
    </row>
    <row r="21" customFormat="false" ht="15" hidden="false" customHeight="true" outlineLevel="0" collapsed="false">
      <c r="A21" s="8"/>
      <c r="B21" s="8"/>
      <c r="C21" s="9"/>
      <c r="D21" s="8"/>
      <c r="E21" s="8"/>
      <c r="F21" s="8"/>
      <c r="G21" s="8"/>
      <c r="H21" s="8"/>
      <c r="I21" s="9"/>
      <c r="J21" s="11" t="str">
        <f aca="false">IF(OR(I21="",C21=""),"",(I21-C21)/C21)</f>
        <v/>
      </c>
      <c r="K21" s="8" t="str">
        <f aca="false">IF(J21="","",IF(J21&gt;0,"涨",IF(J21&lt;0,"跌","平")))</f>
        <v/>
      </c>
      <c r="L21" s="8" t="str">
        <f aca="false">IF(J21="","",IF(ABS(J21)&lt;=0.003,"小",IF(ABS(J21)&lt;=0.01,"中","大")))</f>
        <v/>
      </c>
      <c r="M21" s="8" t="str">
        <f aca="false">IF(OR(D21="",K21=""),"",IF(D21=K21,"√","×"))</f>
        <v/>
      </c>
      <c r="N21" s="8" t="str">
        <f aca="false">IF(OR(E21="",L21=""),"",IF(E21=L21,"√","×"))</f>
        <v/>
      </c>
      <c r="O21" s="8"/>
      <c r="P21" s="8"/>
      <c r="Q21" s="8"/>
    </row>
    <row r="22" customFormat="false" ht="15" hidden="false" customHeight="true" outlineLevel="0" collapsed="false">
      <c r="A22" s="4"/>
      <c r="B22" s="4"/>
      <c r="C22" s="5"/>
      <c r="D22" s="4"/>
      <c r="E22" s="4"/>
      <c r="F22" s="4"/>
      <c r="G22" s="4"/>
      <c r="H22" s="4"/>
      <c r="I22" s="5"/>
      <c r="J22" s="7" t="str">
        <f aca="false">IF(OR(I22="",C22=""),"",(I22-C22)/C22)</f>
        <v/>
      </c>
      <c r="K22" s="4" t="str">
        <f aca="false">IF(J22="","",IF(J22&gt;0,"涨",IF(J22&lt;0,"跌","平")))</f>
        <v/>
      </c>
      <c r="L22" s="4" t="str">
        <f aca="false">IF(J22="","",IF(ABS(J22)&lt;=0.003,"小",IF(ABS(J22)&lt;=0.01,"中","大")))</f>
        <v/>
      </c>
      <c r="M22" s="4" t="str">
        <f aca="false">IF(OR(D22="",K22=""),"",IF(D22=K22,"√","×"))</f>
        <v/>
      </c>
      <c r="N22" s="4" t="str">
        <f aca="false">IF(OR(E22="",L22=""),"",IF(E22=L22,"√","×"))</f>
        <v/>
      </c>
      <c r="O22" s="4"/>
      <c r="P22" s="4"/>
      <c r="Q22" s="4"/>
    </row>
    <row r="23" customFormat="false" ht="15" hidden="false" customHeight="true" outlineLevel="0" collapsed="false">
      <c r="A23" s="8"/>
      <c r="B23" s="8"/>
      <c r="C23" s="9"/>
      <c r="D23" s="8"/>
      <c r="E23" s="8"/>
      <c r="F23" s="8"/>
      <c r="G23" s="8"/>
      <c r="H23" s="8"/>
      <c r="I23" s="9"/>
      <c r="J23" s="11" t="str">
        <f aca="false">IF(OR(I23="",C23=""),"",(I23-C23)/C23)</f>
        <v/>
      </c>
      <c r="K23" s="8" t="str">
        <f aca="false">IF(J23="","",IF(J23&gt;0,"涨",IF(J23&lt;0,"跌","平")))</f>
        <v/>
      </c>
      <c r="L23" s="8" t="str">
        <f aca="false">IF(J23="","",IF(ABS(J23)&lt;=0.003,"小",IF(ABS(J23)&lt;=0.01,"中","大")))</f>
        <v/>
      </c>
      <c r="M23" s="8" t="str">
        <f aca="false">IF(OR(D23="",K23=""),"",IF(D23=K23,"√","×"))</f>
        <v/>
      </c>
      <c r="N23" s="8" t="str">
        <f aca="false">IF(OR(E23="",L23=""),"",IF(E23=L23,"√","×"))</f>
        <v/>
      </c>
      <c r="O23" s="8"/>
      <c r="P23" s="8"/>
      <c r="Q23" s="8"/>
    </row>
    <row r="24" customFormat="false" ht="15" hidden="false" customHeight="true" outlineLevel="0" collapsed="false">
      <c r="A24" s="4"/>
      <c r="B24" s="4"/>
      <c r="C24" s="5"/>
      <c r="D24" s="4"/>
      <c r="E24" s="4"/>
      <c r="F24" s="4"/>
      <c r="G24" s="4"/>
      <c r="H24" s="4"/>
      <c r="I24" s="5"/>
      <c r="J24" s="7" t="str">
        <f aca="false">IF(OR(I24="",C24=""),"",(I24-C24)/C24)</f>
        <v/>
      </c>
      <c r="K24" s="4" t="str">
        <f aca="false">IF(J24="","",IF(J24&gt;0,"涨",IF(J24&lt;0,"跌","平")))</f>
        <v/>
      </c>
      <c r="L24" s="4" t="str">
        <f aca="false">IF(J24="","",IF(ABS(J24)&lt;=0.003,"小",IF(ABS(J24)&lt;=0.01,"中","大")))</f>
        <v/>
      </c>
      <c r="M24" s="4" t="str">
        <f aca="false">IF(OR(D24="",K24=""),"",IF(D24=K24,"√","×"))</f>
        <v/>
      </c>
      <c r="N24" s="4" t="str">
        <f aca="false">IF(OR(E24="",L24=""),"",IF(E24=L24,"√","×"))</f>
        <v/>
      </c>
      <c r="O24" s="4"/>
      <c r="P24" s="4"/>
      <c r="Q24" s="4"/>
    </row>
    <row r="25" customFormat="false" ht="15" hidden="false" customHeight="true" outlineLevel="0" collapsed="false">
      <c r="A25" s="8"/>
      <c r="B25" s="8"/>
      <c r="C25" s="9"/>
      <c r="D25" s="8"/>
      <c r="E25" s="8"/>
      <c r="F25" s="8"/>
      <c r="G25" s="8"/>
      <c r="H25" s="8"/>
      <c r="I25" s="9"/>
      <c r="J25" s="11" t="str">
        <f aca="false">IF(OR(I25="",C25=""),"",(I25-C25)/C25)</f>
        <v/>
      </c>
      <c r="K25" s="8" t="str">
        <f aca="false">IF(J25="","",IF(J25&gt;0,"涨",IF(J25&lt;0,"跌","平")))</f>
        <v/>
      </c>
      <c r="L25" s="8" t="str">
        <f aca="false">IF(J25="","",IF(ABS(J25)&lt;=0.003,"小",IF(ABS(J25)&lt;=0.01,"中","大")))</f>
        <v/>
      </c>
      <c r="M25" s="8" t="str">
        <f aca="false">IF(OR(D25="",K25=""),"",IF(D25=K25,"√","×"))</f>
        <v/>
      </c>
      <c r="N25" s="8" t="str">
        <f aca="false">IF(OR(E25="",L25=""),"",IF(E25=L25,"√","×"))</f>
        <v/>
      </c>
      <c r="O25" s="8"/>
      <c r="P25" s="8"/>
      <c r="Q25" s="8"/>
    </row>
    <row r="26" customFormat="false" ht="15" hidden="false" customHeight="true" outlineLevel="0" collapsed="false">
      <c r="A26" s="4"/>
      <c r="B26" s="4"/>
      <c r="C26" s="5"/>
      <c r="D26" s="4"/>
      <c r="E26" s="4"/>
      <c r="F26" s="4"/>
      <c r="G26" s="4"/>
      <c r="H26" s="4"/>
      <c r="I26" s="5"/>
      <c r="J26" s="7" t="str">
        <f aca="false">IF(OR(I26="",C26=""),"",(I26-C26)/C26)</f>
        <v/>
      </c>
      <c r="K26" s="4" t="str">
        <f aca="false">IF(J26="","",IF(J26&gt;0,"涨",IF(J26&lt;0,"跌","平")))</f>
        <v/>
      </c>
      <c r="L26" s="4" t="str">
        <f aca="false">IF(J26="","",IF(ABS(J26)&lt;=0.003,"小",IF(ABS(J26)&lt;=0.01,"中","大")))</f>
        <v/>
      </c>
      <c r="M26" s="4" t="str">
        <f aca="false">IF(OR(D26="",K26=""),"",IF(D26=K26,"√","×"))</f>
        <v/>
      </c>
      <c r="N26" s="4" t="str">
        <f aca="false">IF(OR(E26="",L26=""),"",IF(E26=L26,"√","×"))</f>
        <v/>
      </c>
      <c r="O26" s="4"/>
      <c r="P26" s="4"/>
      <c r="Q26" s="4"/>
    </row>
    <row r="27" customFormat="false" ht="15" hidden="false" customHeight="true" outlineLevel="0" collapsed="false">
      <c r="A27" s="8"/>
      <c r="B27" s="8"/>
      <c r="C27" s="9"/>
      <c r="D27" s="8"/>
      <c r="E27" s="8"/>
      <c r="F27" s="8"/>
      <c r="G27" s="8"/>
      <c r="H27" s="8"/>
      <c r="I27" s="9"/>
      <c r="J27" s="11" t="str">
        <f aca="false">IF(OR(I27="",C27=""),"",(I27-C27)/C27)</f>
        <v/>
      </c>
      <c r="K27" s="8" t="str">
        <f aca="false">IF(J27="","",IF(J27&gt;0,"涨",IF(J27&lt;0,"跌","平")))</f>
        <v/>
      </c>
      <c r="L27" s="8" t="str">
        <f aca="false">IF(J27="","",IF(ABS(J27)&lt;=0.003,"小",IF(ABS(J27)&lt;=0.01,"中","大")))</f>
        <v/>
      </c>
      <c r="M27" s="8" t="str">
        <f aca="false">IF(OR(D27="",K27=""),"",IF(D27=K27,"√","×"))</f>
        <v/>
      </c>
      <c r="N27" s="8" t="str">
        <f aca="false">IF(OR(E27="",L27=""),"",IF(E27=L27,"√","×"))</f>
        <v/>
      </c>
      <c r="O27" s="8"/>
      <c r="P27" s="8"/>
      <c r="Q27" s="8"/>
    </row>
    <row r="28" customFormat="false" ht="15" hidden="false" customHeight="true" outlineLevel="0" collapsed="false">
      <c r="A28" s="4"/>
      <c r="B28" s="4"/>
      <c r="C28" s="5"/>
      <c r="D28" s="4"/>
      <c r="E28" s="4"/>
      <c r="F28" s="4"/>
      <c r="G28" s="4"/>
      <c r="H28" s="4"/>
      <c r="I28" s="5"/>
      <c r="J28" s="7" t="str">
        <f aca="false">IF(OR(I28="",C28=""),"",(I28-C28)/C28)</f>
        <v/>
      </c>
      <c r="K28" s="4" t="str">
        <f aca="false">IF(J28="","",IF(J28&gt;0,"涨",IF(J28&lt;0,"跌","平")))</f>
        <v/>
      </c>
      <c r="L28" s="4" t="str">
        <f aca="false">IF(J28="","",IF(ABS(J28)&lt;=0.003,"小",IF(ABS(J28)&lt;=0.01,"中","大")))</f>
        <v/>
      </c>
      <c r="M28" s="4" t="str">
        <f aca="false">IF(OR(D28="",K28=""),"",IF(D28=K28,"√","×"))</f>
        <v/>
      </c>
      <c r="N28" s="4" t="str">
        <f aca="false">IF(OR(E28="",L28=""),"",IF(E28=L28,"√","×"))</f>
        <v/>
      </c>
      <c r="O28" s="4"/>
      <c r="P28" s="4"/>
      <c r="Q28" s="4"/>
    </row>
    <row r="29" customFormat="false" ht="15" hidden="false" customHeight="true" outlineLevel="0" collapsed="false">
      <c r="A29" s="8"/>
      <c r="B29" s="8"/>
      <c r="C29" s="9"/>
      <c r="D29" s="8"/>
      <c r="E29" s="8"/>
      <c r="F29" s="8"/>
      <c r="G29" s="8"/>
      <c r="H29" s="8"/>
      <c r="I29" s="9"/>
      <c r="J29" s="11" t="str">
        <f aca="false">IF(OR(I29="",C29=""),"",(I29-C29)/C29)</f>
        <v/>
      </c>
      <c r="K29" s="8" t="str">
        <f aca="false">IF(J29="","",IF(J29&gt;0,"涨",IF(J29&lt;0,"跌","平")))</f>
        <v/>
      </c>
      <c r="L29" s="8" t="str">
        <f aca="false">IF(J29="","",IF(ABS(J29)&lt;=0.003,"小",IF(ABS(J29)&lt;=0.01,"中","大")))</f>
        <v/>
      </c>
      <c r="M29" s="8" t="str">
        <f aca="false">IF(OR(D29="",K29=""),"",IF(D29=K29,"√","×"))</f>
        <v/>
      </c>
      <c r="N29" s="8" t="str">
        <f aca="false">IF(OR(E29="",L29=""),"",IF(E29=L29,"√","×"))</f>
        <v/>
      </c>
      <c r="O29" s="8"/>
      <c r="P29" s="8"/>
      <c r="Q29" s="8"/>
    </row>
    <row r="30" customFormat="false" ht="15" hidden="false" customHeight="true" outlineLevel="0" collapsed="false">
      <c r="A30" s="4"/>
      <c r="B30" s="4"/>
      <c r="C30" s="5"/>
      <c r="D30" s="4"/>
      <c r="E30" s="4"/>
      <c r="F30" s="4"/>
      <c r="G30" s="4"/>
      <c r="H30" s="4"/>
      <c r="I30" s="5"/>
      <c r="J30" s="7" t="str">
        <f aca="false">IF(OR(I30="",C30=""),"",(I30-C30)/C30)</f>
        <v/>
      </c>
      <c r="K30" s="4" t="str">
        <f aca="false">IF(J30="","",IF(J30&gt;0,"涨",IF(J30&lt;0,"跌","平")))</f>
        <v/>
      </c>
      <c r="L30" s="4" t="str">
        <f aca="false">IF(J30="","",IF(ABS(J30)&lt;=0.003,"小",IF(ABS(J30)&lt;=0.01,"中","大")))</f>
        <v/>
      </c>
      <c r="M30" s="4" t="str">
        <f aca="false">IF(OR(D30="",K30=""),"",IF(D30=K30,"√","×"))</f>
        <v/>
      </c>
      <c r="N30" s="4" t="str">
        <f aca="false">IF(OR(E30="",L30=""),"",IF(E30=L30,"√","×"))</f>
        <v/>
      </c>
      <c r="O30" s="4"/>
      <c r="P30" s="4"/>
      <c r="Q30" s="4"/>
    </row>
    <row r="31" customFormat="false" ht="15" hidden="false" customHeight="true" outlineLevel="0" collapsed="false">
      <c r="A31" s="8"/>
      <c r="B31" s="8"/>
      <c r="C31" s="9"/>
      <c r="D31" s="8"/>
      <c r="E31" s="8"/>
      <c r="F31" s="8"/>
      <c r="G31" s="8"/>
      <c r="H31" s="8"/>
      <c r="I31" s="9"/>
      <c r="J31" s="11" t="str">
        <f aca="false">IF(OR(I31="",C31=""),"",(I31-C31)/C31)</f>
        <v/>
      </c>
      <c r="K31" s="8" t="str">
        <f aca="false">IF(J31="","",IF(J31&gt;0,"涨",IF(J31&lt;0,"跌","平")))</f>
        <v/>
      </c>
      <c r="L31" s="8" t="str">
        <f aca="false">IF(J31="","",IF(ABS(J31)&lt;=0.003,"小",IF(ABS(J31)&lt;=0.01,"中","大")))</f>
        <v/>
      </c>
      <c r="M31" s="8" t="str">
        <f aca="false">IF(OR(D31="",K31=""),"",IF(D31=K31,"√","×"))</f>
        <v/>
      </c>
      <c r="N31" s="8" t="str">
        <f aca="false">IF(OR(E31="",L31=""),"",IF(E31=L31,"√","×"))</f>
        <v/>
      </c>
      <c r="O31" s="8"/>
      <c r="P31" s="8"/>
      <c r="Q31" s="8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4"/>
      <c r="H32" s="4"/>
      <c r="I32" s="5"/>
      <c r="J32" s="7" t="str">
        <f aca="false">IF(OR(I32="",C32=""),"",(I32-C32)/C32)</f>
        <v/>
      </c>
      <c r="K32" s="4" t="str">
        <f aca="false">IF(J32="","",IF(J32&gt;0,"涨",IF(J32&lt;0,"跌","平")))</f>
        <v/>
      </c>
      <c r="L32" s="4" t="str">
        <f aca="false">IF(J32="","",IF(ABS(J32)&lt;=0.003,"小",IF(ABS(J32)&lt;=0.01,"中","大")))</f>
        <v/>
      </c>
      <c r="M32" s="4" t="str">
        <f aca="false">IF(OR(D32="",K32=""),"",IF(D32=K32,"√","×"))</f>
        <v/>
      </c>
      <c r="N32" s="4" t="str">
        <f aca="false">IF(OR(E32="",L32=""),"",IF(E32=L32,"√","×"))</f>
        <v/>
      </c>
      <c r="O32" s="4"/>
      <c r="P32" s="4"/>
      <c r="Q32" s="4"/>
    </row>
    <row r="33" customFormat="false" ht="15" hidden="false" customHeight="true" outlineLevel="0" collapsed="false">
      <c r="A33" s="8"/>
      <c r="B33" s="8"/>
      <c r="C33" s="9"/>
      <c r="D33" s="8"/>
      <c r="E33" s="8"/>
      <c r="F33" s="8"/>
      <c r="G33" s="8"/>
      <c r="H33" s="8"/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8"/>
      <c r="P33" s="8"/>
      <c r="Q33" s="8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7" t="s">
        <v>91</v>
      </c>
    </row>
    <row r="3" customFormat="false" ht="15" hidden="false" customHeight="true" outlineLevel="0" collapsed="false">
      <c r="A3" s="18" t="s">
        <v>92</v>
      </c>
      <c r="B3" s="19" t="n">
        <f aca="false">COUNTIF(预测日志!M2:M1000,"√")+COUNTIF(预测日志!M2:M1000,"×")</f>
        <v>13</v>
      </c>
    </row>
    <row r="4" customFormat="false" ht="15" hidden="false" customHeight="true" outlineLevel="0" collapsed="false">
      <c r="A4" s="18" t="s">
        <v>93</v>
      </c>
      <c r="B4" s="19" t="n">
        <f aca="false">COUNTA(预测日志!A2:A1000)</f>
        <v>14</v>
      </c>
    </row>
    <row r="5" customFormat="false" ht="15" hidden="false" customHeight="true" outlineLevel="0" collapsed="false">
      <c r="A5" s="20" t="s">
        <v>94</v>
      </c>
      <c r="B5" s="21" t="n">
        <f aca="false">IFERROR(COUNTIF(预测日志!M2:M1000,"√")/B3,"-")</f>
        <v>0.538461538461538</v>
      </c>
    </row>
    <row r="6" customFormat="false" ht="15" hidden="false" customHeight="true" outlineLevel="0" collapsed="false">
      <c r="A6" s="18" t="s">
        <v>95</v>
      </c>
      <c r="B6" s="22" t="n">
        <f aca="false">IFERROR(COUNTIF(预测日志!N2:N1000,"√")/(COUNTIF(预测日志!N2:N1000,"√")+COUNTIF(预测日志!N2:N1000,"×")),"-")</f>
        <v>0.307692307692308</v>
      </c>
    </row>
    <row r="7" customFormat="false" ht="15" hidden="false" customHeight="true" outlineLevel="0" collapsed="false">
      <c r="A7" s="20" t="s">
        <v>96</v>
      </c>
      <c r="B7" s="21" t="n">
        <f aca="true">IFERROR(COUNTIF(OFFSET(预测日志!$M$1,B3-MIN(30,B3)+1,0,MIN(30,B3),1),"√")/MIN(30,B3),"-")</f>
        <v>0.538461538461538</v>
      </c>
    </row>
    <row r="8" customFormat="false" ht="15" hidden="false" customHeight="true" outlineLevel="0" collapsed="false">
      <c r="A8" s="18" t="s">
        <v>97</v>
      </c>
      <c r="B8" s="22" t="n">
        <f aca="true">IFERROR(COUNTIF(OFFSET(预测日志!$N$1,B3-MIN(30,B3)+1,0,MIN(30,B3),1),"√")/MIN(30,B3),"-")</f>
        <v>0.307692307692308</v>
      </c>
    </row>
    <row r="9" customFormat="false" ht="15" hidden="false" customHeight="true" outlineLevel="0" collapsed="false">
      <c r="A9" s="18" t="s">
        <v>98</v>
      </c>
      <c r="B9" s="19" t="n">
        <f aca="false">IFERROR(COUNTIFS(预测日志!O2:O1000,"趋势*",预测日志!M2:M1000,"√")/(COUNTIFS(预测日志!O2:O1000,"趋势*",预测日志!M2:M1000,"√")+COUNTIFS(预测日志!O2:O1000,"趋势*",预测日志!M2:M1000,"×")),"-")</f>
        <v>0.583333333333333</v>
      </c>
    </row>
    <row r="10" customFormat="false" ht="15" hidden="false" customHeight="true" outlineLevel="0" collapsed="false">
      <c r="A10" s="18" t="s">
        <v>99</v>
      </c>
      <c r="B10" s="19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23" t="s">
        <v>100</v>
      </c>
    </row>
    <row r="13" customFormat="false" ht="15" hidden="false" customHeight="true" outlineLevel="0" collapsed="false">
      <c r="A13" s="3" t="s">
        <v>101</v>
      </c>
      <c r="B13" s="1" t="n">
        <f aca="false">COUNT(预测日志!R2:R1000)</f>
        <v>14</v>
      </c>
    </row>
    <row r="14" customFormat="false" ht="15" hidden="false" customHeight="true" outlineLevel="0" collapsed="false">
      <c r="A14" s="3" t="s">
        <v>102</v>
      </c>
      <c r="B14" s="1" t="n">
        <f aca="false">COUNTIFS(预测日志!R2:R1000,"&gt;0",预测日志!M2:M1000,"√")+COUNTIFS(预测日志!R2:R1000,"&gt;0",预测日志!M2:M1000,"×")</f>
        <v>13</v>
      </c>
    </row>
    <row r="15" customFormat="false" ht="15" hidden="false" customHeight="true" outlineLevel="0" collapsed="false">
      <c r="A15" s="3" t="s">
        <v>103</v>
      </c>
      <c r="B15" s="1" t="s"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24" t="s">
        <v>105</v>
      </c>
    </row>
    <row r="3" customFormat="false" ht="15" hidden="false" customHeight="true" outlineLevel="0" collapsed="false">
      <c r="A3" s="25" t="s">
        <v>106</v>
      </c>
      <c r="B3" s="26" t="s">
        <v>107</v>
      </c>
    </row>
    <row r="4" customFormat="false" ht="15" hidden="false" customHeight="true" outlineLevel="0" collapsed="false">
      <c r="A4" s="25" t="s">
        <v>108</v>
      </c>
      <c r="B4" s="26" t="s">
        <v>109</v>
      </c>
    </row>
    <row r="5" customFormat="false" ht="15" hidden="false" customHeight="true" outlineLevel="0" collapsed="false">
      <c r="A5" s="25" t="s">
        <v>110</v>
      </c>
      <c r="B5" s="26" t="s">
        <v>111</v>
      </c>
    </row>
    <row r="6" customFormat="false" ht="15" hidden="false" customHeight="true" outlineLevel="0" collapsed="false">
      <c r="A6" s="25" t="s">
        <v>112</v>
      </c>
      <c r="B6" s="26" t="s">
        <v>113</v>
      </c>
    </row>
    <row r="7" customFormat="false" ht="15" hidden="false" customHeight="true" outlineLevel="0" collapsed="false">
      <c r="A7" s="25" t="s">
        <v>114</v>
      </c>
      <c r="B7" s="26" t="s">
        <v>115</v>
      </c>
    </row>
    <row r="8" customFormat="false" ht="15" hidden="false" customHeight="true" outlineLevel="0" collapsed="false">
      <c r="A8" s="25" t="s">
        <v>7</v>
      </c>
      <c r="B8" s="26" t="s">
        <v>116</v>
      </c>
    </row>
    <row r="9" customFormat="false" ht="15" hidden="false" customHeight="true" outlineLevel="0" collapsed="false">
      <c r="A9" s="25" t="s">
        <v>14</v>
      </c>
      <c r="B9" s="26" t="s">
        <v>117</v>
      </c>
    </row>
    <row r="10" customFormat="false" ht="15" hidden="false" customHeight="true" outlineLevel="0" collapsed="false">
      <c r="A10" s="25" t="s">
        <v>118</v>
      </c>
      <c r="B10" s="27" t="s">
        <v>119</v>
      </c>
    </row>
    <row r="11" customFormat="false" ht="15" hidden="false" customHeight="true" outlineLevel="0" collapsed="false">
      <c r="A11" s="25" t="s">
        <v>120</v>
      </c>
      <c r="B11" s="26" t="s">
        <v>121</v>
      </c>
    </row>
    <row r="12" customFormat="false" ht="15" hidden="false" customHeight="true" outlineLevel="0" collapsed="false">
      <c r="A12" s="25" t="s">
        <v>122</v>
      </c>
      <c r="B12" s="27" t="s">
        <v>123</v>
      </c>
    </row>
    <row r="13" customFormat="false" ht="15" hidden="false" customHeight="true" outlineLevel="0" collapsed="false">
      <c r="A13" s="3" t="s">
        <v>17</v>
      </c>
      <c r="B13" s="3" t="s">
        <v>124</v>
      </c>
    </row>
    <row r="14" customFormat="false" ht="15" hidden="false" customHeight="true" outlineLevel="0" collapsed="false">
      <c r="A14" s="3" t="s">
        <v>125</v>
      </c>
      <c r="B14" s="3" t="s">
        <v>126</v>
      </c>
    </row>
    <row r="15" customFormat="false" ht="15" hidden="false" customHeight="true" outlineLevel="0" collapsed="false">
      <c r="A15" s="3" t="s">
        <v>127</v>
      </c>
      <c r="B15" s="1" t="s">
        <v>128</v>
      </c>
    </row>
    <row r="16" customFormat="false" ht="15" hidden="false" customHeight="true" outlineLevel="0" collapsed="false">
      <c r="A16" s="3" t="s">
        <v>129</v>
      </c>
      <c r="B16" s="3" t="s">
        <v>130</v>
      </c>
    </row>
    <row r="17" customFormat="false" ht="15" hidden="false" customHeight="true" outlineLevel="0" collapsed="false">
      <c r="A17" s="3" t="s">
        <v>131</v>
      </c>
      <c r="B17" s="3" t="s">
        <v>132</v>
      </c>
    </row>
    <row r="18" customFormat="false" ht="15" hidden="false" customHeight="true" outlineLevel="0" collapsed="false">
      <c r="A18" s="3" t="s">
        <v>133</v>
      </c>
      <c r="B18" s="3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2026-09-09T22:38:42Z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