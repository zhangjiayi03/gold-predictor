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<sst xmlns="http://schemas.openxmlformats.org/spreadsheetml/2006/main" count="383" uniqueCount="224">
  <si>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</si>
  <si>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</si>
  <si>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</si>
  <si>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</si>
  <si>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</si>
  <si>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</si>
  <si>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</si>
  <si>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</si>
  <si>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</si>
  <si>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</si>
  <si>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</si>
  <si>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</si>
  <si>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</si>
  <si>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</si>
  <si>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</si>
  <si>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</si>
  <si>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</si>
  <si>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</si>
  <si>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</si>
  <si>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</si>
  <si>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</si>
  <si>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</si>
  <si>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</si>
  <si>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</si>
  <si>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</si>
  <si>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</si>
  <si>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</si>
  <si>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</si>
  <si>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</si>
  <si>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</si>
  <si>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</si>
  <si>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</si>
  <si>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</si>
  <si>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</si>
  <si>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</si>
  <si>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</si>
  <si>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</si>
  <si>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</si>
  <si>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</si>
  <si>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</si>
  <si>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</si>
  <si>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</si>
  <si>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</si>
  <si>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</si>
  <si>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</si>
  <si>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</si>
  <si>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</si>
  <si>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</si>
  <si>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</si>
  <si>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</si>
  <si>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</si>
  <si>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</si>
  <si>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</si>
  <si>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</si>
  <si>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</si>
  <si>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</si>
  <si>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</si>
  <si>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</si>
  <si>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</si>
  <si>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</si>
  <si>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</si>
  <si>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</si>
  <si>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</si>
  <si>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</si>
  <si>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</si>
  <si>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</si>
  <si>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</si>
  <si>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</si>
  <si>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</si>
  <si>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</si>
  <si>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</si>
  <si>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</si>
  <si>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</si>
  <si>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</si>
  <si>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</si>
  <si>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</si>
  <si>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</si>
  <si>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</si>
  <si>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</si>
  <si>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</si>
  <si>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</si>
  <si>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</si>
  <si>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</si>
  <si>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</si>
  <si>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</si>
  <si>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</si>
  <si>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</si>
  <si>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</si>
  <si>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</si>
  <si>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</si>
  <si>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</si>
  <si>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</si>
  <si>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</si>
  <si>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</si>
  <si>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</si>
  <si>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</si>
  <si>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</si>
  <si>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</si>
  <si>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</si>
  <si>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</si>
  <si>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</si>
  <si>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</si>
  <si>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</si>
  <si>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</si>
  <si>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</si>
  <si>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</si>
  <si>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</si>
  <si>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</si>
  <si>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</si>
  <si>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</si>
  <si>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</si>
  <si>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</si>
  <si>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</si>
  <si>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</si>
  <si>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</si>
  <si>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</si>
  <si>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</si>
  <si>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</si>
  <si>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</si>
  <si>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</si>
  <si>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</si>
  <si>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</si>
  <si>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</si>
  <si>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</si>
  <si>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</si>
  <si>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</si>
  <si>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</si>
  <si>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</si>
  <si>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</si>
  <si>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</si>
  <si>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</si>
  <si>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</si>
  <si>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</si>
  <si>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</si>
  <si>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</si>
  <si>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</si>
  <si>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</si>
  <si>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</si>
  <si>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</si>
  <si>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</si>
  <si>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</si>
  <si>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</si>
  <si>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</si>
  <si>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</si>
  <si>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</si>
  <si>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</si>
  <si>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</si>
  <si>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</si>
  <si>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</si>
  <si>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</si>
  <si>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</si>
  <si>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</si>
  <si>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</si>
  <si>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</si>
  <si>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</si>
  <si>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</si>
  <si>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</si>
  <si>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t xml:space="preserve">趋势跌(20日-9.17%本轮最深·LBMA定盘五连降)·60日+0.1%长期横盘钝化vs10日-2.87%短期续弱·昨超卖大反弹+1.41%后首日·PCE今晚20:30窗内</t>
  </si>
  <si>
    <t xml:space="preserve">锯齿交替第11窗(9/8起10窗严格交替,昨+1.41%→今回吐)[未释放]+趋势跌-9.17%深位[已定价]+鹰派组合(10月加息概率70%+美元一个月高位+10Y~4.96%)[已定价]+反弹供给压力$4,193-4,222为9/28破位区下沿套牢盘密集[部分定价]+PCE偏热概率高(PPI/CPI双热前瞻)[未释放] vs 央行购金22连月(PBOC 8月+20.2t创纪录)与$4,125/4,100双支撑承接[未释放]+超卖修复动能(美盘3连强势买盘)[部分定价]+投机持仓2019年中低位抛压衰竭/轧空空间[未释放]+地缘避险(美伊+关税通胀)[未释放]→押惯性回吐:PCE事件日亚欧盘收敛+双支撑封深跌故押中不押大,收$4,139-4,168;PCE偏冷续反弹($4,193-4,222)约25%,偏热重挫(&lt;$4,139)约15%</t>
  </si>
  <si>
    <t xml:space="preserve">周三06:35晨间定时执行成功(克隆仓库版);9/29结算××(押跌/中vs实际+1.41%涨/大,场景树C兑现且超上沿)后方向续押跌:非追结果式——独立依据=交替规律(10窗样本)+趋势标签-9.17%未变+鹰派组合延续+PCE偏热概率,昨反弹驱动(预期降温)属未兑现即抢跑需今晚数据验证;档位维持中:PCE事件日收敛+20日-9.17%超卖封深跌+双支撑(-1.33%/-1.93%)近在;校准27/20达标良好-0.2pp(Brier0.2481),三条待改项仍待用户定夺,本判断沿用冻结前规则;本沙盒无recalc.py,已用soffice重算log.xlsx公式</t>
  </si>
  <si>
    <t xml:space="preserve">2026-10-01</t>
  </si>
  <si>
    <t xml:space="preserve">2026-10-01 06:40</t>
  </si>
  <si>
    <t xml:space="preserve">趋势跌(20日-5.14%)·60日+2.24%长期钝化vs10日-3.95%短期续弱·PCE偏冷后修复第2日·初请+ISM今晚窗内/非农明晚窗外·中国国庆休市整周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</si>
  <si>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核心环比</t>
    </r>
    <r>
      <rPr>
        <sz val="11"/>
        <color rgb="FF000000"/>
        <rFont val="Calibri"/>
        <family val="2"/>
        <charset val="1"/>
      </rPr>
      <t xml:space="preserve">+0.2%&lt;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)+Williams</t>
    </r>
    <r>
      <rPr>
        <sz val="11"/>
        <color rgb="FF000000"/>
        <rFont val="Noto Sans CJK SC"/>
        <family val="2"/>
      </rPr>
      <t xml:space="preserve">仅再加息一次→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47%[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$4,122-4,125</t>
    </r>
    <r>
      <rPr>
        <sz val="11"/>
        <color rgb="FF000000"/>
        <rFont val="Noto Sans CJK SC"/>
        <family val="2"/>
      </rPr>
      <t xml:space="preserve">两次承接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窗严格交替今日轮涨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]vs12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91%+</t>
    </r>
    <r>
      <rPr>
        <sz val="11"/>
        <color rgb="FF000000"/>
        <rFont val="Noto Sans CJK SC"/>
        <family val="2"/>
      </rPr>
      <t xml:space="preserve">收益率顽固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昨日利好不涨美盘</t>
    </r>
    <r>
      <rPr>
        <sz val="11"/>
        <color rgb="FF000000"/>
        <rFont val="Calibri"/>
        <family val="2"/>
        <charset val="1"/>
      </rPr>
      <t xml:space="preserve">-0.8%[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中国国庆休市整周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主路径超卖修复</t>
    </r>
    <r>
      <rPr>
        <sz val="11"/>
        <color rgb="FF000000"/>
        <rFont val="Calibri"/>
        <family val="2"/>
        <charset val="1"/>
      </rPr>
      <t xml:space="preserve">+0.1%~0.3%</t>
    </r>
  </si>
  <si>
    <t xml:space="preserve">周四06:40晨间定时执行(克隆仓库版);9/30结算√√(押跌/中vs实际-0.56%跌/中,午后+0.43%偏离后美盘PCE偏冷不涨反跌回笼,场景A兑现);方向转押涨非追结果(9/30押跌√后逆向)——依据=PCE偏冷钝化+双底+交替5窗;LBMA今起403不可达,基线9/29-9/30以次晨结算价续接(已注source_note);本沙盒无recalc.py,公式用LibreOffice重算;校准28/20良好+1.4pp,Brier0.2464;周六06:30补结算(10/2周五晨间任务未执行→本行漏结算):结算点10-02 06:00已无实时源,gold-api当前$4,141.80疑似冻结于10-02盘中低点区(与Investing/TE/WSJ/AP外部源全矛盾弃用),改用外部双源窗口收盘均值Investing 4,182.07+twelvedata 4,189.2→$4,185.6(两源日切≈北京06:00与预测窗口吻合,其Sep30收盘4,157.34/4,156.5与本系统10-01晨基准价$4,157.30互相验证);实际+0.68%涨/中,方向√档位×(押小档被非农反弹超上限,场景树B带)</t>
  </si>
  <si>
    <t xml:space="preserve">2026-10-05</t>
  </si>
  <si>
    <t xml:space="preserve">2026-10-05 06:32</t>
  </si>
  <si>
    <t xml:space="preserve">趋势跌(20日-6.30%·9/29起结算价续接口径)·60日+1.34%长期钝化vs10日-4.18%短期续弱·周五非农后-0.99%大跌企稳日·SGE国庆休市至10/7·本周无重大数据</t>
  </si>
  <si>
    <t xml:space="preserve">周五冲高$4,227遭抛回落-0.99%(非农后收益率走高)[已定价]+10月加息70%/12月88%鹰派组合+20日-6.30%趋势跌深位[已定价] vs $4,114-4,125双底带近在(-0.43%~-0.70%)[未释放]+近11窗涨跌严格交替周五跌今日轮涨[未释放]+PBoC 22连月购金(8月+20.2t创2023/10以来最大)+ETF 8月流入$18bn[未释放]+VIX回落15.31恐慌消退[部分定价]→押超卖修复:主路径收$4,155-4,172(+0.3%~+0.7%中档下沿),亚盘破$4,130防线则转跌</t>
  </si>
  <si>
    <t xml:space="preserve">周一06:32晨间定时执行成功(克隆仓库版);10/2周五晨间任务未执行→10/1行已于10/3周六补结算(涨√档×,外部双源均值$4,185.6),今晨settle无待结算行(10/3-10/4周末无行);方向续押涨非追结果(10/1押涨√后连押)——独立依据=周五-0.99%超卖宣泄落地+平开企稳+双底带上方止跌+11窗交替;档位改押中:涨窗样本全为中档(+0.88/+0.68)且10/1押小被+0.68%击穿(连续两次押小失手);LBMA仍403,基线9/29-10/1结算价续接,10/2漏采缺口已注source_note;本沙盒无recalc.py(按规则跳过),公式用LibreOffice重算;校准29/20达标良好+2.9pp(Brier0.2449),三条待改项仍待用户定夺,本判断沿用冻结前规则</t>
  </si>
  <si>
    <t xml:space="preserve">2026-10-06</t>
  </si>
  <si>
    <t xml:space="preserve">2026-10-06 06:35</t>
  </si>
  <si>
    <t xml:space="preserve">趋势跌(20日-6.14%·结算价续接口径)·60日+1.1%长期钝化vs10日-4.69%短期续弱·昨+0.03%弱修复后动能收敛·SGE国庆休市最后一天(10/7复市)·隔夜美数据偏强·本周数据真空</t>
  </si>
  <si>
    <t xml:space="preserve">隔夜美经济数据偏强强化higher-for-longer+FXS Fed情绪指数136.59鹰派区[已定价]+20日-6.14%趋势跌深位·日线100日均线下方技术偏空[已定价]+昨场景A预期+0.3%~0.7%仅兑现+0.03%该涨涨不动·反弹动能衰竭[未释放]+12窗交替轮跌窗(9/8起严格交替)[未释放]+SGE休市最后一天亚盘缺实物买盘[未释放] vs $4,114-4,125双底带四守成功(9/14/9/18/9/24/10-1)[未释放]+PBoC 22连月(8月+20.2t)+ETF 8月$18bn结构性托底[未释放]+VIX 15.31低位无流动性冲击[部分定价]+地缘避险残余(美伊/关税/也门)[部分定价]→押顺势回落测底:主路径-0.3%~-0.7%收$4,115-4,132(中档),双底承接封深跌不押大</t>
  </si>
  <si>
    <t xml:space="preserve">周二06:35晨间定时执行(克隆仓库版);10/5结算√×(押涨/中vs实际+0.03%涨/小,午后+0.28%一度在轨美盘回吐归零)后方向转押跌:非追结果式(昨方向√)——独立依据=①弱修复证伪反弹叙事(预期+0.3~0.7%仅兑现+0.03%)②12窗交替轮跌③隔夜美数据偏强+鹰派情绪升温④顺势结构未变;档位押中:整理期跌窗样本均为中档(-0.56/-0.99)+回落测双底带目标恰落中档区间;LBMA仍403,基线9/29起结算价续接(10-02漏采注source_note);本沙盒无recalc.py(按规则跳过),公式用LibreOffice重算;校准30/20达标良好+4.3pp(Brier0.2435),三条待改项仍待用户定夺,本判断沿用冻结前规则</t>
  </si>
  <si>
    <t xml:space="preserve">2026-10-07</t>
  </si>
  <si>
    <t xml:space="preserve">2026-10-07 06:35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</si>
  <si>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-5.35%·</t>
    </r>
    <r>
      <rPr>
        <sz val="11"/>
        <color rgb="FF000000"/>
        <rFont val="Noto Sans CJK SC"/>
        <family val="2"/>
      </rPr>
      <t xml:space="preserve">结算价续接口径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+3.15%</t>
    </r>
    <r>
      <rPr>
        <sz val="11"/>
        <color rgb="FF000000"/>
        <rFont val="Noto Sans CJK SC"/>
        <family val="2"/>
      </rPr>
      <t xml:space="preserve">长期温和多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-3.63%</t>
    </r>
    <r>
      <rPr>
        <sz val="11"/>
        <color rgb="FF000000"/>
        <rFont val="Noto Sans CJK SC"/>
        <family val="2"/>
      </rPr>
      <t xml:space="preserve">短期修复中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昨</t>
    </r>
    <r>
      <rPr>
        <sz val="11"/>
        <color rgb="FF000000"/>
        <rFont val="Calibri"/>
        <family val="2"/>
        <charset val="1"/>
      </rPr>
      <t xml:space="preserve">+0.55%</t>
    </r>
    <r>
      <rPr>
        <sz val="11"/>
        <color rgb="FF000000"/>
        <rFont val="Noto Sans CJK SC"/>
        <family val="2"/>
      </rPr>
      <t xml:space="preserve">二连涨修复</t>
    </r>
    <r>
      <rPr>
        <sz val="11"/>
        <color rgb="FF000000"/>
        <rFont val="Calibri"/>
        <family val="2"/>
        <charset val="1"/>
      </rPr>
      <t xml:space="preserve">·SGE</t>
    </r>
    <r>
      <rPr>
        <sz val="11"/>
        <color rgb="FF000000"/>
        <rFont val="Noto Sans CJK SC"/>
        <family val="2"/>
      </rPr>
      <t xml:space="preserve">国庆后复市首日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本周数据真空</t>
    </r>
  </si>
  <si>
    <r>
      <rPr>
        <sz val="11"/>
        <color rgb="FF000000"/>
        <rFont val="Calibri"/>
        <family val="2"/>
        <charset val="1"/>
      </rPr>
      <t xml:space="preserve">SGE</t>
    </r>
    <r>
      <rPr>
        <sz val="11"/>
        <color rgb="FF000000"/>
        <rFont val="Noto Sans CJK SC"/>
        <family val="2"/>
      </rPr>
      <t xml:space="preserve">复市首日实物买盘回归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月加息预期降温</t>
    </r>
    <r>
      <rPr>
        <sz val="11"/>
        <color rgb="FF000000"/>
        <rFont val="Calibri"/>
        <family val="2"/>
        <charset val="1"/>
      </rPr>
      <t xml:space="preserve">(reduced rate hike expectations)[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二连涨修复动能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美盘主动买盘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亚盘贴地美盘拉升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双底带</t>
    </r>
    <r>
      <rPr>
        <sz val="11"/>
        <color rgb="FF000000"/>
        <rFont val="Calibri"/>
        <family val="2"/>
        <charset val="1"/>
      </rPr>
      <t xml:space="preserve">$4,114-4,125</t>
    </r>
    <r>
      <rPr>
        <sz val="11"/>
        <color rgb="FF000000"/>
        <rFont val="Noto Sans CJK SC"/>
        <family val="2"/>
      </rPr>
      <t xml:space="preserve">五守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+20.2t)+ETF 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$18bn[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 vs 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-5.35%</t>
    </r>
    <r>
      <rPr>
        <sz val="11"/>
        <color rgb="FF000000"/>
        <rFont val="Noto Sans CJK SC"/>
        <family val="2"/>
      </rPr>
      <t xml:space="preserve">趋势跌深位未反转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美元逼近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关口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收益率高企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$4,186/4,227</t>
    </r>
    <r>
      <rPr>
        <sz val="11"/>
        <color rgb="FF000000"/>
        <rFont val="Noto Sans CJK SC"/>
        <family val="2"/>
      </rPr>
      <t xml:space="preserve">阻力密集获利了结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避险溢价消退</t>
    </r>
    <r>
      <rPr>
        <sz val="11"/>
        <color rgb="FF000000"/>
        <rFont val="Calibri"/>
        <family val="2"/>
        <charset val="1"/>
      </rPr>
      <t xml:space="preserve">(Kitco:</t>
    </r>
    <r>
      <rPr>
        <sz val="11"/>
        <color rgb="FF000000"/>
        <rFont val="Noto Sans CJK SC"/>
        <family val="2"/>
      </rPr>
      <t xml:space="preserve">难持续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押复市修复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主路径</t>
    </r>
    <r>
      <rPr>
        <sz val="11"/>
        <color rgb="FF000000"/>
        <rFont val="Calibri"/>
        <family val="2"/>
        <charset val="1"/>
      </rPr>
      <t xml:space="preserve">+0.3%~+0.7%</t>
    </r>
    <r>
      <rPr>
        <sz val="11"/>
        <color rgb="FF000000"/>
        <rFont val="Noto Sans CJK SC"/>
        <family val="2"/>
      </rPr>
      <t xml:space="preserve">收</t>
    </r>
    <r>
      <rPr>
        <sz val="11"/>
        <color rgb="FF000000"/>
        <rFont val="Calibri"/>
        <family val="2"/>
        <charset val="1"/>
      </rPr>
      <t xml:space="preserve">$4,178-4,195(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$4,153</t>
    </r>
    <r>
      <rPr>
        <sz val="11"/>
        <color rgb="FF000000"/>
        <rFont val="Noto Sans CJK SC"/>
        <family val="2"/>
      </rPr>
      <t xml:space="preserve">转回落</t>
    </r>
  </si>
  <si>
    <r>
      <rPr>
        <sz val="11"/>
        <color rgb="FF000000"/>
        <rFont val="Noto Sans CJK SC"/>
        <family val="2"/>
      </rPr>
      <t xml:space="preserve">周三</t>
    </r>
    <r>
      <rPr>
        <sz val="11"/>
        <color rgb="FF000000"/>
        <rFont val="Calibri"/>
        <family val="2"/>
        <charset val="1"/>
      </rPr>
      <t xml:space="preserve">06:35</t>
    </r>
    <r>
      <rPr>
        <sz val="11"/>
        <color rgb="FF000000"/>
        <rFont val="Noto Sans CJK SC"/>
        <family val="2"/>
      </rPr>
      <t xml:space="preserve">晨间定时执行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);10/6</t>
    </r>
    <r>
      <rPr>
        <sz val="11"/>
        <color rgb="FF000000"/>
        <rFont val="Noto Sans CJK SC"/>
        <family val="2"/>
      </rPr>
      <t xml:space="preserve">结算</t>
    </r>
    <r>
      <rPr>
        <sz val="11"/>
        <color rgb="FF000000"/>
        <rFont val="Calibri"/>
        <family val="2"/>
        <charset val="1"/>
      </rPr>
      <t xml:space="preserve">×√(</t>
    </r>
    <r>
      <rPr>
        <sz val="11"/>
        <color rgb="FF000000"/>
        <rFont val="Noto Sans CJK SC"/>
        <family val="2"/>
      </rPr>
      <t xml:space="preserve">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+0.55%</t>
    </r>
    <r>
      <rPr>
        <sz val="11"/>
        <color rgb="FF000000"/>
        <rFont val="Noto Sans CJK SC"/>
        <family val="2"/>
      </rPr>
      <t xml:space="preserve">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亚盘贴地横盘美盘空头回补</t>
    </r>
    <r>
      <rPr>
        <sz val="11"/>
        <color rgb="FF000000"/>
        <rFont val="Calibri"/>
        <family val="2"/>
        <charset val="1"/>
      </rPr>
      <t xml:space="preserve">+SGE</t>
    </r>
    <r>
      <rPr>
        <sz val="11"/>
        <color rgb="FF000000"/>
        <rFont val="Noto Sans CJK SC"/>
        <family val="2"/>
      </rPr>
      <t xml:space="preserve">复市抢跑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场景</t>
    </r>
    <r>
      <rPr>
        <sz val="11"/>
        <color rgb="FF000000"/>
        <rFont val="Calibri"/>
        <family val="2"/>
        <charset val="1"/>
      </rPr>
      <t xml:space="preserve">C</t>
    </r>
    <r>
      <rPr>
        <sz val="11"/>
        <color rgb="FF000000"/>
        <rFont val="Noto Sans CJK SC"/>
        <family val="2"/>
      </rPr>
      <t xml:space="preserve">兑现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后方向转押涨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非追结果——独立依据</t>
    </r>
    <r>
      <rPr>
        <sz val="11"/>
        <color rgb="FF000000"/>
        <rFont val="Calibri"/>
        <family val="2"/>
        <charset val="1"/>
      </rPr>
      <t xml:space="preserve">=①SGE</t>
    </r>
    <r>
      <rPr>
        <sz val="11"/>
        <color rgb="FF000000"/>
        <rFont val="Noto Sans CJK SC"/>
        <family val="2"/>
      </rPr>
      <t xml:space="preserve">今日复市实物买盘落地②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月加息预期降温③二连涨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美盘主动买盘④昨报场景</t>
    </r>
    <r>
      <rPr>
        <sz val="11"/>
        <color rgb="FF000000"/>
        <rFont val="Calibri"/>
        <family val="2"/>
        <charset val="1"/>
      </rPr>
      <t xml:space="preserve">C</t>
    </r>
    <r>
      <rPr>
        <sz val="11"/>
        <color rgb="FF000000"/>
        <rFont val="Noto Sans CJK SC"/>
        <family val="2"/>
      </rPr>
      <t xml:space="preserve">已预警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整理期涨窗样本全为中档</t>
    </r>
    <r>
      <rPr>
        <sz val="11"/>
        <color rgb="FF000000"/>
        <rFont val="Calibri"/>
        <family val="2"/>
        <charset val="1"/>
      </rPr>
      <t xml:space="preserve">(+0.88/+0.68/+0.55)+</t>
    </r>
    <r>
      <rPr>
        <sz val="11"/>
        <color rgb="FF000000"/>
        <rFont val="Noto Sans CJK SC"/>
        <family val="2"/>
      </rPr>
      <t xml:space="preserve">主路径目标</t>
    </r>
    <r>
      <rPr>
        <sz val="11"/>
        <color rgb="FF000000"/>
        <rFont val="Calibri"/>
        <family val="2"/>
        <charset val="1"/>
      </rPr>
      <t xml:space="preserve">$4,178-4,195</t>
    </r>
    <r>
      <rPr>
        <sz val="11"/>
        <color rgb="FF000000"/>
        <rFont val="Noto Sans CJK SC"/>
        <family val="2"/>
      </rPr>
      <t xml:space="preserve">恰落中档</t>
    </r>
    <r>
      <rPr>
        <sz val="11"/>
        <color rgb="FF000000"/>
        <rFont val="Calibri"/>
        <family val="2"/>
        <charset val="1"/>
      </rPr>
      <t xml:space="preserve">;LBMA</t>
    </r>
    <r>
      <rPr>
        <sz val="11"/>
        <color rgb="FF000000"/>
        <rFont val="Noto Sans CJK SC"/>
        <family val="2"/>
      </rPr>
      <t xml:space="preserve">仍</t>
    </r>
    <r>
      <rPr>
        <sz val="11"/>
        <color rgb="FF000000"/>
        <rFont val="Calibri"/>
        <family val="2"/>
        <charset val="1"/>
      </rPr>
      <t xml:space="preserve">403,</t>
    </r>
    <r>
      <rPr>
        <sz val="11"/>
        <color rgb="FF000000"/>
        <rFont val="Noto Sans CJK SC"/>
        <family val="2"/>
      </rPr>
      <t xml:space="preserve">基线</t>
    </r>
    <r>
      <rPr>
        <sz val="11"/>
        <color rgb="FF000000"/>
        <rFont val="Calibri"/>
        <family val="2"/>
        <charset val="1"/>
      </rPr>
      <t xml:space="preserve">9/29</t>
    </r>
    <r>
      <rPr>
        <sz val="11"/>
        <color rgb="FF000000"/>
        <rFont val="Noto Sans CJK SC"/>
        <family val="2"/>
      </rPr>
      <t xml:space="preserve">起结算价续接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今晨续接</t>
    </r>
    <r>
      <rPr>
        <sz val="11"/>
        <color rgb="FF000000"/>
        <rFont val="Calibri"/>
        <family val="2"/>
        <charset val="1"/>
      </rPr>
      <t xml:space="preserve">10/6</t>
    </r>
    <r>
      <rPr>
        <sz val="11"/>
        <color rgb="FF000000"/>
        <rFont val="Noto Sans CJK SC"/>
        <family val="2"/>
      </rPr>
      <t xml:space="preserve">收盘</t>
    </r>
    <r>
      <rPr>
        <sz val="11"/>
        <color rgb="FF000000"/>
        <rFont val="Calibri"/>
        <family val="2"/>
        <charset val="1"/>
      </rPr>
      <t xml:space="preserve">,10-02</t>
    </r>
    <r>
      <rPr>
        <sz val="11"/>
        <color rgb="FF000000"/>
        <rFont val="Noto Sans CJK SC"/>
        <family val="2"/>
      </rPr>
      <t xml:space="preserve">漏采注</t>
    </r>
    <r>
      <rPr>
        <sz val="11"/>
        <color rgb="FF000000"/>
        <rFont val="Calibri"/>
        <family val="2"/>
        <charset val="1"/>
      </rPr>
      <t xml:space="preserve">source_note);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recalc.py(</t>
    </r>
    <r>
      <rPr>
        <sz val="11"/>
        <color rgb="FF000000"/>
        <rFont val="Noto Sans CJK SC"/>
        <family val="2"/>
      </rPr>
      <t xml:space="preserve">按规则跳过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公式用</t>
    </r>
    <r>
      <rPr>
        <sz val="11"/>
        <color rgb="FF000000"/>
        <rFont val="Calibri"/>
        <family val="2"/>
        <charset val="1"/>
      </rPr>
      <t xml:space="preserve">LibreOffice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31/20</t>
    </r>
    <r>
      <rPr>
        <sz val="11"/>
        <color rgb="FF000000"/>
        <rFont val="Noto Sans CJK SC"/>
        <family val="2"/>
      </rPr>
      <t xml:space="preserve">达标良好</t>
    </r>
    <r>
      <rPr>
        <sz val="11"/>
        <color rgb="FF000000"/>
        <rFont val="Calibri"/>
        <family val="2"/>
        <charset val="1"/>
      </rPr>
      <t xml:space="preserve">+2.4pp(Brier0.2454),</t>
    </r>
    <r>
      <rPr>
        <sz val="11"/>
        <color rgb="FF000000"/>
        <rFont val="Noto Sans CJK SC"/>
        <family val="2"/>
      </rPr>
      <t xml:space="preserve">三条待改项仍待用户定夺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</si>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</sst>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0" t="s">
        <v>44</v>
      </c>
      <c r="E29" s="10" t="s">
        <v>33</v>
      </c>
      <c r="F29" s="10" t="s">
        <v>44</v>
      </c>
      <c r="G29" s="10" t="s">
        <v>33</v>
      </c>
      <c r="H29" s="10" t="s">
        <v>22</v>
      </c>
      <c r="I29" s="9" t="n">
        <v>4157.2</v>
      </c>
      <c r="J29" s="11" t="n">
        <f aca="false">IF(OR(I29="",C29=""),"",(I29-C29)/C29)</f>
        <v>-0.00557349599330228</v>
      </c>
      <c r="K29" s="8" t="str">
        <f aca="false">IF(J29="","",IF(J29&gt;0,"涨",IF(J29&lt;0,"跌","平")))</f>
        <v>跌</v>
      </c>
      <c r="L29" s="8" t="str">
        <f aca="false">IF(J29="","",IF(ABS(J29)&lt;=0.003,"小",IF(ABS(J29)&lt;=0.01,"中","大")))</f>
        <v>中</v>
      </c>
      <c r="M29" s="8" t="str">
        <f aca="false">IF(OR(D29="",K29=""),"",IF(D29=K29,"√","×"))</f>
        <v>√</v>
      </c>
      <c r="N29" s="8" t="str">
        <f aca="false">IF(OR(E29="",L29=""),"",IF(E29=L29,"√","×"))</f>
        <v>√</v>
      </c>
      <c r="O29" s="10" t="s">
        <v>157</v>
      </c>
      <c r="P29" s="10" t="s">
        <v>158</v>
      </c>
      <c r="Q29" s="10" t="s">
        <v>159</v>
      </c>
      <c r="R29" s="1" t="n">
        <v>55</v>
      </c>
    </row>
    <row r="30" customFormat="false" ht="15" hidden="false" customHeight="true" outlineLevel="0" collapsed="false">
      <c r="A30" s="4" t="s">
        <v>160</v>
      </c>
      <c r="B30" s="4" t="s">
        <v>161</v>
      </c>
      <c r="C30" s="5" t="n">
        <v>4157.3</v>
      </c>
      <c r="D30" s="6" t="s">
        <v>20</v>
      </c>
      <c r="E30" s="6" t="s">
        <v>38</v>
      </c>
      <c r="F30" s="6" t="s">
        <v>20</v>
      </c>
      <c r="G30" s="6" t="s">
        <v>38</v>
      </c>
      <c r="H30" s="6" t="s">
        <v>22</v>
      </c>
      <c r="I30" s="5" t="n">
        <v>4185.6</v>
      </c>
      <c r="J30" s="7" t="n">
        <f aca="false">IF(OR(I30="",C30=""),"",(I30-C30)/C30)</f>
        <v>0.00680730281673206</v>
      </c>
      <c r="K30" s="4" t="str">
        <f aca="false">IF(J30="","",IF(J30&gt;0,"涨",IF(J30&lt;0,"跌","平")))</f>
        <v>涨</v>
      </c>
      <c r="L30" s="4" t="str">
        <f aca="false">IF(J30="","",IF(ABS(J30)&lt;=0.003,"小",IF(ABS(J30)&lt;=0.01,"中","大")))</f>
        <v>中</v>
      </c>
      <c r="M30" s="4" t="str">
        <f aca="false">IF(OR(D30="",K30=""),"",IF(D30=K30,"√","×"))</f>
        <v>√</v>
      </c>
      <c r="N30" s="4" t="str">
        <f aca="false">IF(OR(E30="",L30=""),"",IF(E30=L30,"√","×"))</f>
        <v>×</v>
      </c>
      <c r="O30" s="6" t="s">
        <v>162</v>
      </c>
      <c r="P30" s="4" t="s">
        <v>163</v>
      </c>
      <c r="Q30" s="6" t="s">
        <v>164</v>
      </c>
      <c r="R30" s="1" t="n">
        <v>55</v>
      </c>
    </row>
    <row r="31" customFormat="false" ht="15" hidden="false" customHeight="true" outlineLevel="0" collapsed="false">
      <c r="A31" s="8" t="s">
        <v>165</v>
      </c>
      <c r="B31" s="8" t="s">
        <v>166</v>
      </c>
      <c r="C31" s="9" t="n">
        <v>4142.8</v>
      </c>
      <c r="D31" s="10" t="s">
        <v>20</v>
      </c>
      <c r="E31" s="10" t="s">
        <v>33</v>
      </c>
      <c r="F31" s="10" t="s">
        <v>20</v>
      </c>
      <c r="G31" s="10" t="s">
        <v>33</v>
      </c>
      <c r="H31" s="10" t="s">
        <v>22</v>
      </c>
      <c r="I31" s="9" t="n">
        <v>4144.2</v>
      </c>
      <c r="J31" s="11" t="n">
        <f aca="false">IF(OR(I31="",C31=""),"",(I31-C31)/C31)</f>
        <v>0.00033793569566468</v>
      </c>
      <c r="K31" s="8" t="str">
        <f aca="false">IF(J31="","",IF(J31&gt;0,"涨",IF(J31&lt;0,"跌","平")))</f>
        <v>涨</v>
      </c>
      <c r="L31" s="8" t="str">
        <f aca="false">IF(J31="","",IF(ABS(J31)&lt;=0.003,"小",IF(ABS(J31)&lt;=0.01,"中","大")))</f>
        <v>小</v>
      </c>
      <c r="M31" s="8" t="str">
        <f aca="false">IF(OR(D31="",K31=""),"",IF(D31=K31,"√","×"))</f>
        <v>√</v>
      </c>
      <c r="N31" s="8" t="str">
        <f aca="false">IF(OR(E31="",L31=""),"",IF(E31=L31,"√","×"))</f>
        <v>×</v>
      </c>
      <c r="O31" s="10" t="s">
        <v>167</v>
      </c>
      <c r="P31" s="10" t="s">
        <v>168</v>
      </c>
      <c r="Q31" s="10" t="s">
        <v>169</v>
      </c>
      <c r="R31" s="1" t="n">
        <v>55</v>
      </c>
    </row>
    <row r="32" customFormat="false" ht="15" hidden="false" customHeight="true" outlineLevel="0" collapsed="false">
      <c r="A32" s="4" t="s">
        <v>170</v>
      </c>
      <c r="B32" s="4" t="s">
        <v>171</v>
      </c>
      <c r="C32" s="5" t="n">
        <v>4144.4</v>
      </c>
      <c r="D32" s="6" t="s">
        <v>44</v>
      </c>
      <c r="E32" s="6" t="s">
        <v>33</v>
      </c>
      <c r="F32" s="6" t="s">
        <v>44</v>
      </c>
      <c r="G32" s="6" t="s">
        <v>33</v>
      </c>
      <c r="H32" s="6" t="s">
        <v>22</v>
      </c>
      <c r="I32" s="5" t="n">
        <v>4167.2</v>
      </c>
      <c r="J32" s="7" t="n">
        <f aca="false">IF(OR(I32="",C32=""),"",(I32-C32)/C32)</f>
        <v>0.00550139947881483</v>
      </c>
      <c r="K32" s="4" t="str">
        <f aca="false">IF(J32="","",IF(J32&gt;0,"涨",IF(J32&lt;0,"跌","平")))</f>
        <v>涨</v>
      </c>
      <c r="L32" s="4" t="str">
        <f aca="false">IF(J32="","",IF(ABS(J32)&lt;=0.003,"小",IF(ABS(J32)&lt;=0.01,"中","大")))</f>
        <v>中</v>
      </c>
      <c r="M32" s="4" t="str">
        <f aca="false">IF(OR(D32="",K32=""),"",IF(D32=K32,"√","×"))</f>
        <v>×</v>
      </c>
      <c r="N32" s="4" t="str">
        <f aca="false">IF(OR(E32="",L32=""),"",IF(E32=L32,"√","×"))</f>
        <v>√</v>
      </c>
      <c r="O32" s="6" t="s">
        <v>172</v>
      </c>
      <c r="P32" s="6" t="s">
        <v>173</v>
      </c>
      <c r="Q32" s="6" t="s">
        <v>174</v>
      </c>
      <c r="R32" s="1" t="n">
        <v>55</v>
      </c>
    </row>
    <row r="33" customFormat="false" ht="15" hidden="false" customHeight="true" outlineLevel="0" collapsed="false">
      <c r="A33" s="8" t="s">
        <v>175</v>
      </c>
      <c r="B33" s="8" t="s">
        <v>176</v>
      </c>
      <c r="C33" s="9" t="n">
        <v>4165.9</v>
      </c>
      <c r="D33" s="17" t="s">
        <v>20</v>
      </c>
      <c r="E33" s="17" t="s">
        <v>33</v>
      </c>
      <c r="F33" s="17" t="s">
        <v>20</v>
      </c>
      <c r="G33" s="17" t="s">
        <v>33</v>
      </c>
      <c r="H33" s="17" t="s">
        <v>22</v>
      </c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17" t="s">
        <v>177</v>
      </c>
      <c r="P33" s="8" t="s">
        <v>178</v>
      </c>
      <c r="Q33" s="17" t="s">
        <v>179</v>
      </c>
      <c r="R33" s="0" t="n">
        <v>55</v>
      </c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8" t="s">
        <v>180</v>
      </c>
    </row>
    <row r="3" customFormat="false" ht="15" hidden="false" customHeight="true" outlineLevel="0" collapsed="false">
      <c r="A3" s="19" t="s">
        <v>181</v>
      </c>
      <c r="B3" s="20" t="n">
        <f aca="false">COUNTIF(预测日志!M2:M1000,"√")+COUNTIF(预测日志!M2:M1000,"×")</f>
        <v>31</v>
      </c>
    </row>
    <row r="4" customFormat="false" ht="15" hidden="false" customHeight="true" outlineLevel="0" collapsed="false">
      <c r="A4" s="19" t="s">
        <v>182</v>
      </c>
      <c r="B4" s="20" t="n">
        <f aca="false">COUNTA(预测日志!A2:A1000)</f>
        <v>32</v>
      </c>
    </row>
    <row r="5" customFormat="false" ht="15" hidden="false" customHeight="true" outlineLevel="0" collapsed="false">
      <c r="A5" s="21" t="s">
        <v>183</v>
      </c>
      <c r="B5" s="22" t="n">
        <f aca="false">IFERROR(COUNTIF(预测日志!M2:M1000,"√")/B3,"-")</f>
        <v>0.580645161290323</v>
      </c>
    </row>
    <row r="6" customFormat="false" ht="15" hidden="false" customHeight="true" outlineLevel="0" collapsed="false">
      <c r="A6" s="19" t="s">
        <v>184</v>
      </c>
      <c r="B6" s="23" t="n">
        <f aca="false">IFERROR(COUNTIF(预测日志!N2:N1000,"√")/(COUNTIF(预测日志!N2:N1000,"√")+COUNTIF(预测日志!N2:N1000,"×")),"-")</f>
        <v>0.419354838709677</v>
      </c>
    </row>
    <row r="7" customFormat="false" ht="15" hidden="false" customHeight="true" outlineLevel="0" collapsed="false">
      <c r="A7" s="21" t="s">
        <v>185</v>
      </c>
      <c r="B7" s="22" t="n">
        <f aca="true">IFERROR(COUNTIF(OFFSET(预测日志!$M$1,B3-MIN(30,B3)+1,0,MIN(30,B3),1),"√")/MIN(30,B3),"-")</f>
        <v>0.566666666666667</v>
      </c>
    </row>
    <row r="8" customFormat="false" ht="15" hidden="false" customHeight="true" outlineLevel="0" collapsed="false">
      <c r="A8" s="19" t="s">
        <v>186</v>
      </c>
      <c r="B8" s="23" t="n">
        <f aca="true">IFERROR(COUNTIF(OFFSET(预测日志!$N$1,B3-MIN(30,B3)+1,0,MIN(30,B3),1),"√")/MIN(30,B3),"-")</f>
        <v>0.4</v>
      </c>
    </row>
    <row r="9" customFormat="false" ht="15" hidden="false" customHeight="true" outlineLevel="0" collapsed="false">
      <c r="A9" s="19" t="s">
        <v>187</v>
      </c>
      <c r="B9" s="20" t="n">
        <f aca="false">IFERROR(COUNTIFS(预测日志!O2:O1000,"趋势*",预测日志!M2:M1000,"√")/(COUNTIFS(预测日志!O2:O1000,"趋势*",预测日志!M2:M1000,"√")+COUNTIFS(预测日志!O2:O1000,"趋势*",预测日志!M2:M1000,"×")),"-")</f>
        <v>0.56</v>
      </c>
    </row>
    <row r="10" customFormat="false" ht="15" hidden="false" customHeight="true" outlineLevel="0" collapsed="false">
      <c r="A10" s="19" t="s">
        <v>188</v>
      </c>
      <c r="B10" s="20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4" t="s">
        <v>189</v>
      </c>
    </row>
    <row r="13" customFormat="false" ht="15" hidden="false" customHeight="true" outlineLevel="0" collapsed="false">
      <c r="A13" s="3" t="s">
        <v>190</v>
      </c>
      <c r="B13" s="1" t="n">
        <f aca="false">COUNT(预测日志!R2:R1000)</f>
        <v>32</v>
      </c>
    </row>
    <row r="14" customFormat="false" ht="15" hidden="false" customHeight="true" outlineLevel="0" collapsed="false">
      <c r="A14" s="3" t="s">
        <v>191</v>
      </c>
      <c r="B14" s="1" t="n">
        <f aca="false">COUNTIFS(预测日志!R2:R1000,"&gt;0",预测日志!M2:M1000,"√")+COUNTIFS(预测日志!R2:R1000,"&gt;0",预测日志!M2:M1000,"×")</f>
        <v>31</v>
      </c>
    </row>
    <row r="15" customFormat="false" ht="15" hidden="false" customHeight="true" outlineLevel="0" collapsed="false">
      <c r="A15" s="3" t="s">
        <v>192</v>
      </c>
      <c r="B15" s="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5" t="s">
        <v>194</v>
      </c>
    </row>
    <row r="3" customFormat="false" ht="15" hidden="false" customHeight="true" outlineLevel="0" collapsed="false">
      <c r="A3" s="26" t="s">
        <v>195</v>
      </c>
      <c r="B3" s="27" t="s">
        <v>196</v>
      </c>
    </row>
    <row r="4" customFormat="false" ht="15" hidden="false" customHeight="true" outlineLevel="0" collapsed="false">
      <c r="A4" s="26" t="s">
        <v>197</v>
      </c>
      <c r="B4" s="27" t="s">
        <v>198</v>
      </c>
    </row>
    <row r="5" customFormat="false" ht="15" hidden="false" customHeight="true" outlineLevel="0" collapsed="false">
      <c r="A5" s="26" t="s">
        <v>199</v>
      </c>
      <c r="B5" s="27" t="s">
        <v>200</v>
      </c>
    </row>
    <row r="6" customFormat="false" ht="15" hidden="false" customHeight="true" outlineLevel="0" collapsed="false">
      <c r="A6" s="26" t="s">
        <v>201</v>
      </c>
      <c r="B6" s="27" t="s">
        <v>202</v>
      </c>
    </row>
    <row r="7" customFormat="false" ht="15" hidden="false" customHeight="true" outlineLevel="0" collapsed="false">
      <c r="A7" s="26" t="s">
        <v>203</v>
      </c>
      <c r="B7" s="27" t="s">
        <v>204</v>
      </c>
    </row>
    <row r="8" customFormat="false" ht="15" hidden="false" customHeight="true" outlineLevel="0" collapsed="false">
      <c r="A8" s="26" t="s">
        <v>7</v>
      </c>
      <c r="B8" s="27" t="s">
        <v>205</v>
      </c>
    </row>
    <row r="9" customFormat="false" ht="15" hidden="false" customHeight="true" outlineLevel="0" collapsed="false">
      <c r="A9" s="26" t="s">
        <v>14</v>
      </c>
      <c r="B9" s="27" t="s">
        <v>206</v>
      </c>
    </row>
    <row r="10" customFormat="false" ht="15" hidden="false" customHeight="true" outlineLevel="0" collapsed="false">
      <c r="A10" s="26" t="s">
        <v>207</v>
      </c>
      <c r="B10" s="28" t="s">
        <v>208</v>
      </c>
    </row>
    <row r="11" customFormat="false" ht="15" hidden="false" customHeight="true" outlineLevel="0" collapsed="false">
      <c r="A11" s="26" t="s">
        <v>209</v>
      </c>
      <c r="B11" s="27" t="s">
        <v>210</v>
      </c>
    </row>
    <row r="12" customFormat="false" ht="15" hidden="false" customHeight="true" outlineLevel="0" collapsed="false">
      <c r="A12" s="26" t="s">
        <v>211</v>
      </c>
      <c r="B12" s="28" t="s">
        <v>212</v>
      </c>
    </row>
    <row r="13" customFormat="false" ht="15" hidden="false" customHeight="true" outlineLevel="0" collapsed="false">
      <c r="A13" s="3" t="s">
        <v>17</v>
      </c>
      <c r="B13" s="3" t="s">
        <v>213</v>
      </c>
    </row>
    <row r="14" customFormat="false" ht="15" hidden="false" customHeight="true" outlineLevel="0" collapsed="false">
      <c r="A14" s="3" t="s">
        <v>214</v>
      </c>
      <c r="B14" s="3" t="s">
        <v>215</v>
      </c>
    </row>
    <row r="15" customFormat="false" ht="15" hidden="false" customHeight="true" outlineLevel="0" collapsed="false">
      <c r="A15" s="3" t="s">
        <v>216</v>
      </c>
      <c r="B15" s="1" t="s">
        <v>217</v>
      </c>
    </row>
    <row r="16" customFormat="false" ht="15" hidden="false" customHeight="true" outlineLevel="0" collapsed="false">
      <c r="A16" s="3" t="s">
        <v>218</v>
      </c>
      <c r="B16" s="3" t="s">
        <v>219</v>
      </c>
    </row>
    <row r="17" customFormat="false" ht="15" hidden="false" customHeight="true" outlineLevel="0" collapsed="false">
      <c r="A17" s="3" t="s">
        <v>220</v>
      </c>
      <c r="B17" s="3" t="s">
        <v>221</v>
      </c>
    </row>
    <row r="18" customFormat="false" ht="15" hidden="false" customHeight="true" outlineLevel="0" collapsed="false">
      <c r="A18" s="3" t="s">
        <v>222</v>
      </c>
      <c r="B18" s="3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2026-10-06T22:36:07Z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