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<sst xmlns="http://schemas.openxmlformats.org/spreadsheetml/2006/main" count="85" uniqueCount="71">
  <si>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</si>
  <si>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</si>
  <si>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</si>
  <si>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</si>
  <si>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</si>
  <si>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</si>
  <si>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</si>
  <si>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</si>
  <si>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</si>
  <si>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</si>
  <si>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</si>
  <si>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</si>
  <si>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</si>
  <si>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</si>
  <si>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</si>
  <si>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</si>
  <si>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</si>
  <si>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</si>
  <si>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</si>
  <si>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</si>
  <si>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</si>
  <si>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</si>
  <si>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</si>
  <si>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</si>
  <si>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</si>
  <si>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</si>
  <si>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</si>
  <si>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</si>
  <si>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</si>
  <si>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</si>
  <si>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</si>
  <si>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</si>
  <si>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</si>
  <si>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</si>
  <si>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r>
      <rPr>
        <sz val="11"/>
        <color rgb="FF000000"/>
        <rFont val="Noto Sans CJK SC"/>
        <family val="2"/>
      </rPr>
      <t xml:space="preserve">趋势涨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+12.66%)</t>
    </r>
  </si>
  <si>
    <r>
      <rPr>
        <sz val="11"/>
        <color rgb="FF000000"/>
        <rFont val="Noto Sans CJK SC"/>
        <family val="2"/>
      </rPr>
      <t xml:space="preserve">动能延续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站上</t>
    </r>
    <r>
      <rPr>
        <sz val="11"/>
        <color rgb="FF000000"/>
        <rFont val="Calibri"/>
        <family val="2"/>
        <charset val="1"/>
      </rPr>
      <t xml:space="preserve">$4600</t>
    </r>
    <r>
      <rPr>
        <sz val="11"/>
        <color rgb="FF000000"/>
        <rFont val="Noto Sans CJK SC"/>
        <family val="2"/>
      </rPr>
      <t xml:space="preserve">三个月新高</t>
    </r>
    <r>
      <rPr>
        <sz val="11"/>
        <color rgb="FF000000"/>
        <rFont val="Calibri"/>
        <family val="2"/>
        <charset val="1"/>
      </rPr>
      <t xml:space="preserve">,200</t>
    </r>
    <r>
      <rPr>
        <sz val="11"/>
        <color rgb="FF000000"/>
        <rFont val="Noto Sans CJK SC"/>
        <family val="2"/>
      </rPr>
      <t xml:space="preserve">日线上方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(PBOC 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+15t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持仓回升</t>
    </r>
    <r>
      <rPr>
        <sz val="11"/>
        <color rgb="FF000000"/>
        <rFont val="Calibri"/>
        <family val="2"/>
        <charset val="1"/>
      </rPr>
      <t xml:space="preserve">(COMEX</t>
    </r>
    <r>
      <rPr>
        <sz val="11"/>
        <color rgb="FF000000"/>
        <rFont val="Noto Sans CJK SC"/>
        <family val="2"/>
      </rPr>
      <t xml:space="preserve">净多</t>
    </r>
    <r>
      <rPr>
        <sz val="11"/>
        <color rgb="FF000000"/>
        <rFont val="Calibri"/>
        <family val="2"/>
        <charset val="1"/>
      </rPr>
      <t xml:space="preserve">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+16%</t>
    </r>
    <r>
      <rPr>
        <sz val="11"/>
        <color rgb="FF000000"/>
        <rFont val="Noto Sans CJK SC"/>
        <family val="2"/>
      </rPr>
      <t xml:space="preserve">至</t>
    </r>
    <r>
      <rPr>
        <sz val="11"/>
        <color rgb="FF000000"/>
        <rFont val="Calibri"/>
        <family val="2"/>
        <charset val="1"/>
      </rPr>
      <t xml:space="preserve">538t)+</t>
    </r>
    <r>
      <rPr>
        <sz val="11"/>
        <color rgb="FF000000"/>
        <rFont val="Noto Sans CJK SC"/>
        <family val="2"/>
      </rPr>
      <t xml:space="preserve">霍尔木兹避险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航运</t>
    </r>
    <r>
      <rPr>
        <sz val="11"/>
        <color rgb="FF000000"/>
        <rFont val="Calibri"/>
        <family val="2"/>
        <charset val="1"/>
      </rPr>
      <t xml:space="preserve">-90%)+9</t>
    </r>
    <r>
      <rPr>
        <sz val="11"/>
        <color rgb="FF000000"/>
        <rFont val="Noto Sans CJK SC"/>
        <family val="2"/>
      </rPr>
      <t xml:space="preserve">月降息押注升温；风险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5.6%</t>
    </r>
    <r>
      <rPr>
        <sz val="11"/>
        <color rgb="FF000000"/>
        <rFont val="Noto Sans CJK SC"/>
        <family val="2"/>
      </rPr>
      <t xml:space="preserve">后获利回吐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美元指数</t>
    </r>
    <r>
      <rPr>
        <sz val="11"/>
        <color rgb="FF000000"/>
        <rFont val="Calibri"/>
        <family val="2"/>
        <charset val="1"/>
      </rPr>
      <t xml:space="preserve">101</t>
    </r>
    <r>
      <rPr>
        <sz val="11"/>
        <color rgb="FF000000"/>
        <rFont val="Noto Sans CJK SC"/>
        <family val="2"/>
      </rPr>
      <t xml:space="preserve">上方偏强</t>
    </r>
    <r>
      <rPr>
        <sz val="11"/>
        <color rgb="FF000000"/>
        <rFont val="Calibri"/>
        <family val="2"/>
        <charset val="1"/>
      </rPr>
      <t xml:space="preserve">/VIX</t>
    </r>
    <r>
      <rPr>
        <sz val="11"/>
        <color rgb="FF000000"/>
        <rFont val="Noto Sans CJK SC"/>
        <family val="2"/>
      </rPr>
      <t xml:space="preserve">回落</t>
    </r>
    <r>
      <rPr>
        <sz val="11"/>
        <color rgb="FF000000"/>
        <rFont val="Calibri"/>
        <family val="2"/>
        <charset val="1"/>
      </rPr>
      <t xml:space="preserve">15.1/</t>
    </r>
    <r>
      <rPr>
        <sz val="11"/>
        <color rgb="FF000000"/>
        <rFont val="Noto Sans CJK SC"/>
        <family val="2"/>
      </rPr>
      <t xml:space="preserve">杰克逊霍尔年会前观望</t>
    </r>
  </si>
  <si>
    <r>
      <rPr>
        <sz val="11"/>
        <color rgb="FF000000"/>
        <rFont val="Noto Sans CJK SC"/>
        <family val="2"/>
      </rPr>
      <t xml:space="preserve">周二</t>
    </r>
    <r>
      <rPr>
        <sz val="11"/>
        <color rgb="FF000000"/>
        <rFont val="Calibri"/>
        <family val="2"/>
        <charset val="1"/>
      </rPr>
      <t xml:space="preserve">06:30</t>
    </r>
    <r>
      <rPr>
        <sz val="11"/>
        <color rgb="FF000000"/>
        <rFont val="Noto Sans CJK SC"/>
        <family val="2"/>
      </rPr>
      <t xml:space="preserve">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；档位押中不押大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昨日仅</t>
    </r>
    <r>
      <rPr>
        <sz val="11"/>
        <color rgb="FF000000"/>
        <rFont val="Calibri"/>
        <family val="2"/>
        <charset val="1"/>
      </rPr>
      <t xml:space="preserve">+0.33%</t>
    </r>
    <r>
      <rPr>
        <sz val="11"/>
        <color rgb="FF000000"/>
        <rFont val="Noto Sans CJK SC"/>
        <family val="2"/>
      </rPr>
      <t xml:space="preserve">动能放缓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美元偏强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年会前观望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</si>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</sst>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12" t="s">
        <v>20</v>
      </c>
      <c r="E4" s="12" t="s">
        <v>33</v>
      </c>
      <c r="F4" s="12" t="s">
        <v>20</v>
      </c>
      <c r="G4" s="12" t="s">
        <v>33</v>
      </c>
      <c r="H4" s="12" t="s">
        <v>22</v>
      </c>
      <c r="I4" s="5"/>
      <c r="J4" s="7" t="str">
        <f aca="false">IF(OR(I4="",C4=""),"",(I4-C4)/C4)</f>
        <v/>
      </c>
      <c r="K4" s="4" t="str">
        <f aca="false">IF(J4="","",IF(J4&gt;0,"涨",IF(J4&lt;0,"跌","平")))</f>
        <v/>
      </c>
      <c r="L4" s="4" t="str">
        <f aca="false">IF(J4="","",IF(ABS(J4)&lt;=0.003,"小",IF(ABS(J4)&lt;=0.01,"中","大")))</f>
        <v/>
      </c>
      <c r="M4" s="4" t="str">
        <f aca="false">IF(OR(D4="",K4=""),"",IF(D4=K4,"√","×"))</f>
        <v/>
      </c>
      <c r="N4" s="4" t="str">
        <f aca="false">IF(OR(E4="",L4=""),"",IF(E4=L4,"√","×"))</f>
        <v/>
      </c>
      <c r="O4" s="12" t="s">
        <v>34</v>
      </c>
      <c r="P4" s="12" t="s">
        <v>35</v>
      </c>
      <c r="Q4" s="12" t="s">
        <v>36</v>
      </c>
      <c r="R4" s="0" t="n">
        <v>60</v>
      </c>
    </row>
    <row r="5" customFormat="false" ht="15" hidden="false" customHeight="true" outlineLevel="0" collapsed="false">
      <c r="A5" s="8"/>
      <c r="B5" s="8"/>
      <c r="C5" s="9"/>
      <c r="D5" s="8"/>
      <c r="E5" s="8"/>
      <c r="F5" s="8"/>
      <c r="G5" s="8"/>
      <c r="H5" s="8"/>
      <c r="I5" s="9"/>
      <c r="J5" s="11" t="str">
        <f aca="false">IF(OR(I5="",C5=""),"",(I5-C5)/C5)</f>
        <v/>
      </c>
      <c r="K5" s="8" t="str">
        <f aca="false">IF(J5="","",IF(J5&gt;0,"涨",IF(J5&lt;0,"跌","平")))</f>
        <v/>
      </c>
      <c r="L5" s="8" t="str">
        <f aca="false">IF(J5="","",IF(ABS(J5)&lt;=0.003,"小",IF(ABS(J5)&lt;=0.01,"中","大")))</f>
        <v/>
      </c>
      <c r="M5" s="8" t="str">
        <f aca="false">IF(OR(D5="",K5=""),"",IF(D5=K5,"√","×"))</f>
        <v/>
      </c>
      <c r="N5" s="8" t="str">
        <f aca="false">IF(OR(E5="",L5=""),"",IF(E5=L5,"√","×"))</f>
        <v/>
      </c>
      <c r="O5" s="8"/>
      <c r="P5" s="8"/>
      <c r="Q5" s="8"/>
    </row>
    <row r="6" customFormat="false" ht="15" hidden="false" customHeight="true" outlineLevel="0" collapsed="false">
      <c r="A6" s="4"/>
      <c r="B6" s="4"/>
      <c r="C6" s="5"/>
      <c r="D6" s="4"/>
      <c r="E6" s="4"/>
      <c r="F6" s="4"/>
      <c r="G6" s="4"/>
      <c r="H6" s="4"/>
      <c r="I6" s="5"/>
      <c r="J6" s="7" t="str">
        <f aca="false">IF(OR(I6="",C6=""),"",(I6-C6)/C6)</f>
        <v/>
      </c>
      <c r="K6" s="4" t="str">
        <f aca="false">IF(J6="","",IF(J6&gt;0,"涨",IF(J6&lt;0,"跌","平")))</f>
        <v/>
      </c>
      <c r="L6" s="4" t="str">
        <f aca="false">IF(J6="","",IF(ABS(J6)&lt;=0.003,"小",IF(ABS(J6)&lt;=0.01,"中","大")))</f>
        <v/>
      </c>
      <c r="M6" s="4" t="str">
        <f aca="false">IF(OR(D6="",K6=""),"",IF(D6=K6,"√","×"))</f>
        <v/>
      </c>
      <c r="N6" s="4" t="str">
        <f aca="false">IF(OR(E6="",L6=""),"",IF(E6=L6,"√","×"))</f>
        <v/>
      </c>
      <c r="O6" s="4"/>
      <c r="P6" s="4"/>
      <c r="Q6" s="4"/>
    </row>
    <row r="7" customFormat="false" ht="15" hidden="false" customHeight="true" outlineLevel="0" collapsed="false">
      <c r="A7" s="8"/>
      <c r="B7" s="8"/>
      <c r="C7" s="9"/>
      <c r="D7" s="8"/>
      <c r="E7" s="8"/>
      <c r="F7" s="8"/>
      <c r="G7" s="8"/>
      <c r="H7" s="8"/>
      <c r="I7" s="9"/>
      <c r="J7" s="11" t="str">
        <f aca="false">IF(OR(I7="",C7=""),"",(I7-C7)/C7)</f>
        <v/>
      </c>
      <c r="K7" s="8" t="str">
        <f aca="false">IF(J7="","",IF(J7&gt;0,"涨",IF(J7&lt;0,"跌","平")))</f>
        <v/>
      </c>
      <c r="L7" s="8" t="str">
        <f aca="false">IF(J7="","",IF(ABS(J7)&lt;=0.003,"小",IF(ABS(J7)&lt;=0.01,"中","大")))</f>
        <v/>
      </c>
      <c r="M7" s="8" t="str">
        <f aca="false">IF(OR(D7="",K7=""),"",IF(D7=K7,"√","×"))</f>
        <v/>
      </c>
      <c r="N7" s="8" t="str">
        <f aca="false">IF(OR(E7="",L7=""),"",IF(E7=L7,"√","×"))</f>
        <v/>
      </c>
      <c r="O7" s="8"/>
      <c r="P7" s="8"/>
      <c r="Q7" s="8"/>
    </row>
    <row r="8" customFormat="false" ht="15" hidden="false" customHeight="true" outlineLevel="0" collapsed="false">
      <c r="A8" s="4"/>
      <c r="B8" s="4"/>
      <c r="C8" s="5"/>
      <c r="D8" s="4"/>
      <c r="E8" s="4"/>
      <c r="F8" s="4"/>
      <c r="G8" s="4"/>
      <c r="H8" s="4"/>
      <c r="I8" s="5"/>
      <c r="J8" s="7" t="str">
        <f aca="false">IF(OR(I8="",C8=""),"",(I8-C8)/C8)</f>
        <v/>
      </c>
      <c r="K8" s="4" t="str">
        <f aca="false">IF(J8="","",IF(J8&gt;0,"涨",IF(J8&lt;0,"跌","平")))</f>
        <v/>
      </c>
      <c r="L8" s="4" t="str">
        <f aca="false">IF(J8="","",IF(ABS(J8)&lt;=0.003,"小",IF(ABS(J8)&lt;=0.01,"中","大")))</f>
        <v/>
      </c>
      <c r="M8" s="4" t="str">
        <f aca="false">IF(OR(D8="",K8=""),"",IF(D8=K8,"√","×"))</f>
        <v/>
      </c>
      <c r="N8" s="4" t="str">
        <f aca="false">IF(OR(E8="",L8=""),"",IF(E8=L8,"√","×"))</f>
        <v/>
      </c>
      <c r="O8" s="4"/>
      <c r="P8" s="4"/>
      <c r="Q8" s="4"/>
    </row>
    <row r="9" customFormat="false" ht="15" hidden="false" customHeight="true" outlineLevel="0" collapsed="false">
      <c r="A9" s="8"/>
      <c r="B9" s="8"/>
      <c r="C9" s="9"/>
      <c r="D9" s="8"/>
      <c r="E9" s="8"/>
      <c r="F9" s="8"/>
      <c r="G9" s="8"/>
      <c r="H9" s="8"/>
      <c r="I9" s="9"/>
      <c r="J9" s="11" t="str">
        <f aca="false">IF(OR(I9="",C9=""),"",(I9-C9)/C9)</f>
        <v/>
      </c>
      <c r="K9" s="8" t="str">
        <f aca="false">IF(J9="","",IF(J9&gt;0,"涨",IF(J9&lt;0,"跌","平")))</f>
        <v/>
      </c>
      <c r="L9" s="8" t="str">
        <f aca="false">IF(J9="","",IF(ABS(J9)&lt;=0.003,"小",IF(ABS(J9)&lt;=0.01,"中","大")))</f>
        <v/>
      </c>
      <c r="M9" s="8" t="str">
        <f aca="false">IF(OR(D9="",K9=""),"",IF(D9=K9,"√","×"))</f>
        <v/>
      </c>
      <c r="N9" s="8" t="str">
        <f aca="false">IF(OR(E9="",L9=""),"",IF(E9=L9,"√","×"))</f>
        <v/>
      </c>
      <c r="O9" s="8"/>
      <c r="P9" s="8"/>
      <c r="Q9" s="8"/>
    </row>
    <row r="10" customFormat="false" ht="15" hidden="false" customHeight="true" outlineLevel="0" collapsed="false">
      <c r="A10" s="4"/>
      <c r="B10" s="4"/>
      <c r="C10" s="5"/>
      <c r="D10" s="4"/>
      <c r="E10" s="4"/>
      <c r="F10" s="4"/>
      <c r="G10" s="4"/>
      <c r="H10" s="4"/>
      <c r="I10" s="5"/>
      <c r="J10" s="7" t="str">
        <f aca="false">IF(OR(I10="",C10=""),"",(I10-C10)/C10)</f>
        <v/>
      </c>
      <c r="K10" s="4" t="str">
        <f aca="false">IF(J10="","",IF(J10&gt;0,"涨",IF(J10&lt;0,"跌","平")))</f>
        <v/>
      </c>
      <c r="L10" s="4" t="str">
        <f aca="false">IF(J10="","",IF(ABS(J10)&lt;=0.003,"小",IF(ABS(J10)&lt;=0.01,"中","大")))</f>
        <v/>
      </c>
      <c r="M10" s="4" t="str">
        <f aca="false">IF(OR(D10="",K10=""),"",IF(D10=K10,"√","×"))</f>
        <v/>
      </c>
      <c r="N10" s="4" t="str">
        <f aca="false">IF(OR(E10="",L10=""),"",IF(E10=L10,"√","×"))</f>
        <v/>
      </c>
      <c r="O10" s="4"/>
      <c r="P10" s="4"/>
      <c r="Q10" s="4"/>
    </row>
    <row r="11" customFormat="false" ht="15" hidden="false" customHeight="true" outlineLevel="0" collapsed="false">
      <c r="A11" s="8"/>
      <c r="B11" s="8"/>
      <c r="C11" s="9"/>
      <c r="D11" s="8"/>
      <c r="E11" s="8"/>
      <c r="F11" s="8"/>
      <c r="G11" s="8"/>
      <c r="H11" s="8"/>
      <c r="I11" s="9"/>
      <c r="J11" s="11" t="str">
        <f aca="false">IF(OR(I11="",C11=""),"",(I11-C11)/C11)</f>
        <v/>
      </c>
      <c r="K11" s="8" t="str">
        <f aca="false">IF(J11="","",IF(J11&gt;0,"涨",IF(J11&lt;0,"跌","平")))</f>
        <v/>
      </c>
      <c r="L11" s="8" t="str">
        <f aca="false">IF(J11="","",IF(ABS(J11)&lt;=0.003,"小",IF(ABS(J11)&lt;=0.01,"中","大")))</f>
        <v/>
      </c>
      <c r="M11" s="8" t="str">
        <f aca="false">IF(OR(D11="",K11=""),"",IF(D11=K11,"√","×"))</f>
        <v/>
      </c>
      <c r="N11" s="8" t="str">
        <f aca="false">IF(OR(E11="",L11=""),"",IF(E11=L11,"√","×"))</f>
        <v/>
      </c>
      <c r="O11" s="8"/>
      <c r="P11" s="8"/>
      <c r="Q11" s="8"/>
    </row>
    <row r="12" customFormat="false" ht="15" hidden="false" customHeight="true" outlineLevel="0" collapsed="false">
      <c r="A12" s="4"/>
      <c r="B12" s="4"/>
      <c r="C12" s="5"/>
      <c r="D12" s="4"/>
      <c r="E12" s="4"/>
      <c r="F12" s="4"/>
      <c r="G12" s="4"/>
      <c r="H12" s="4"/>
      <c r="I12" s="5"/>
      <c r="J12" s="7" t="str">
        <f aca="false">IF(OR(I12="",C12=""),"",(I12-C12)/C12)</f>
        <v/>
      </c>
      <c r="K12" s="4" t="str">
        <f aca="false">IF(J12="","",IF(J12&gt;0,"涨",IF(J12&lt;0,"跌","平")))</f>
        <v/>
      </c>
      <c r="L12" s="4" t="str">
        <f aca="false">IF(J12="","",IF(ABS(J12)&lt;=0.003,"小",IF(ABS(J12)&lt;=0.01,"中","大")))</f>
        <v/>
      </c>
      <c r="M12" s="4" t="str">
        <f aca="false">IF(OR(D12="",K12=""),"",IF(D12=K12,"√","×"))</f>
        <v/>
      </c>
      <c r="N12" s="4" t="str">
        <f aca="false">IF(OR(E12="",L12=""),"",IF(E12=L12,"√","×"))</f>
        <v/>
      </c>
      <c r="O12" s="4"/>
      <c r="P12" s="4"/>
      <c r="Q12" s="4"/>
    </row>
    <row r="13" customFormat="false" ht="15" hidden="false" customHeight="true" outlineLevel="0" collapsed="false">
      <c r="A13" s="8"/>
      <c r="B13" s="8"/>
      <c r="C13" s="9"/>
      <c r="D13" s="8"/>
      <c r="E13" s="8"/>
      <c r="F13" s="8"/>
      <c r="G13" s="8"/>
      <c r="H13" s="8"/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8"/>
      <c r="P13" s="8"/>
      <c r="Q13" s="8"/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3" t="s">
        <v>37</v>
      </c>
    </row>
    <row r="3" customFormat="false" ht="15" hidden="false" customHeight="true" outlineLevel="0" collapsed="false">
      <c r="A3" s="14" t="s">
        <v>38</v>
      </c>
      <c r="B3" s="15" t="n">
        <f aca="false">COUNTIF(预测日志!M2:M1000,"√")+COUNTIF(预测日志!M2:M1000,"×")</f>
        <v>2</v>
      </c>
    </row>
    <row r="4" customFormat="false" ht="15" hidden="false" customHeight="true" outlineLevel="0" collapsed="false">
      <c r="A4" s="14" t="s">
        <v>39</v>
      </c>
      <c r="B4" s="15" t="n">
        <f aca="false">COUNTA(预测日志!A2:A1000)</f>
        <v>3</v>
      </c>
    </row>
    <row r="5" customFormat="false" ht="15" hidden="false" customHeight="true" outlineLevel="0" collapsed="false">
      <c r="A5" s="16" t="s">
        <v>40</v>
      </c>
      <c r="B5" s="17" t="n">
        <f aca="false">IFERROR(COUNTIF(预测日志!M2:M1000,"√")/B3,"-")</f>
        <v>1</v>
      </c>
    </row>
    <row r="6" customFormat="false" ht="15" hidden="false" customHeight="true" outlineLevel="0" collapsed="false">
      <c r="A6" s="14" t="s">
        <v>41</v>
      </c>
      <c r="B6" s="18" t="n">
        <f aca="false">IFERROR(COUNTIF(预测日志!N2:N1000,"√")/(COUNTIF(预测日志!N2:N1000,"√")+COUNTIF(预测日志!N2:N1000,"×")),"-")</f>
        <v>0.5</v>
      </c>
    </row>
    <row r="7" customFormat="false" ht="15" hidden="false" customHeight="true" outlineLevel="0" collapsed="false">
      <c r="A7" s="16" t="s">
        <v>42</v>
      </c>
      <c r="B7" s="17" t="n">
        <f aca="true">IFERROR(COUNTIF(OFFSET(预测日志!$M$1,B3-MIN(30,B3)+1,0,MIN(30,B3),1),"√")/MIN(30,B3),"-")</f>
        <v>1</v>
      </c>
    </row>
    <row r="8" customFormat="false" ht="15" hidden="false" customHeight="true" outlineLevel="0" collapsed="false">
      <c r="A8" s="14" t="s">
        <v>43</v>
      </c>
      <c r="B8" s="18" t="n">
        <f aca="true">IFERROR(COUNTIF(OFFSET(预测日志!$N$1,B3-MIN(30,B3)+1,0,MIN(30,B3),1),"√")/MIN(30,B3),"-")</f>
        <v>0.5</v>
      </c>
    </row>
    <row r="9" customFormat="false" ht="15" hidden="false" customHeight="true" outlineLevel="0" collapsed="false">
      <c r="A9" s="14" t="s">
        <v>44</v>
      </c>
      <c r="B9" s="15" t="n">
        <f aca="false">IFERROR(COUNTIFS(预测日志!O2:O1000,"趋势*",预测日志!M2:M1000,"√")/(COUNTIFS(预测日志!O2:O1000,"趋势*",预测日志!M2:M1000,"√")+COUNTIFS(预测日志!O2:O1000,"趋势*",预测日志!M2:M1000,"×")),"-")</f>
        <v>1</v>
      </c>
    </row>
    <row r="10" customFormat="false" ht="15" hidden="false" customHeight="true" outlineLevel="0" collapsed="false">
      <c r="A10" s="14" t="s">
        <v>45</v>
      </c>
      <c r="B10" s="15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19" t="s">
        <v>46</v>
      </c>
    </row>
    <row r="13" customFormat="false" ht="15" hidden="false" customHeight="true" outlineLevel="0" collapsed="false">
      <c r="A13" s="3" t="s">
        <v>47</v>
      </c>
      <c r="B13" s="1" t="n">
        <f aca="false">COUNT(预测日志!R2:R1000)</f>
        <v>3</v>
      </c>
    </row>
    <row r="14" customFormat="false" ht="15" hidden="false" customHeight="true" outlineLevel="0" collapsed="false">
      <c r="A14" s="3" t="s">
        <v>48</v>
      </c>
      <c r="B14" s="1" t="n">
        <f aca="false">COUNTIFS(预测日志!R2:R1000,"&gt;0",预测日志!M2:M1000,"√")+COUNTIFS(预测日志!R2:R1000,"&gt;0",预测日志!M2:M1000,"×")</f>
        <v>2</v>
      </c>
    </row>
    <row r="15" customFormat="false" ht="15" hidden="false" customHeight="true" outlineLevel="0" collapsed="false">
      <c r="A15" s="3" t="s">
        <v>49</v>
      </c>
      <c r="B15" s="1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0" t="s">
        <v>51</v>
      </c>
    </row>
    <row r="3" customFormat="false" ht="15" hidden="false" customHeight="true" outlineLevel="0" collapsed="false">
      <c r="A3" s="21" t="s">
        <v>52</v>
      </c>
      <c r="B3" s="22" t="s">
        <v>53</v>
      </c>
    </row>
    <row r="4" customFormat="false" ht="15" hidden="false" customHeight="true" outlineLevel="0" collapsed="false">
      <c r="A4" s="21" t="s">
        <v>54</v>
      </c>
      <c r="B4" s="22" t="s">
        <v>55</v>
      </c>
    </row>
    <row r="5" customFormat="false" ht="15" hidden="false" customHeight="true" outlineLevel="0" collapsed="false">
      <c r="A5" s="21" t="s">
        <v>56</v>
      </c>
      <c r="B5" s="22" t="s">
        <v>57</v>
      </c>
    </row>
    <row r="6" customFormat="false" ht="15" hidden="false" customHeight="true" outlineLevel="0" collapsed="false">
      <c r="A6" s="21" t="s">
        <v>58</v>
      </c>
      <c r="B6" s="22" t="s">
        <v>59</v>
      </c>
    </row>
    <row r="7" customFormat="false" ht="15" hidden="false" customHeight="true" outlineLevel="0" collapsed="false">
      <c r="A7" s="21" t="s">
        <v>60</v>
      </c>
      <c r="B7" s="22" t="s">
        <v>61</v>
      </c>
    </row>
    <row r="8" customFormat="false" ht="15" hidden="false" customHeight="true" outlineLevel="0" collapsed="false">
      <c r="A8" s="21" t="s">
        <v>7</v>
      </c>
      <c r="B8" s="22" t="s">
        <v>62</v>
      </c>
    </row>
    <row r="9" customFormat="false" ht="15" hidden="false" customHeight="true" outlineLevel="0" collapsed="false">
      <c r="A9" s="21" t="s">
        <v>14</v>
      </c>
      <c r="B9" s="22" t="s">
        <v>63</v>
      </c>
    </row>
    <row r="10" customFormat="false" ht="15" hidden="false" customHeight="true" outlineLevel="0" collapsed="false">
      <c r="A10" s="21" t="s">
        <v>64</v>
      </c>
      <c r="B10" s="23" t="s">
        <v>65</v>
      </c>
    </row>
    <row r="11" customFormat="false" ht="15" hidden="false" customHeight="true" outlineLevel="0" collapsed="false">
      <c r="A11" s="21" t="s">
        <v>66</v>
      </c>
      <c r="B11" s="22" t="s">
        <v>67</v>
      </c>
    </row>
    <row r="12" customFormat="false" ht="15" hidden="false" customHeight="true" outlineLevel="0" collapsed="false">
      <c r="A12" s="21" t="s">
        <v>68</v>
      </c>
      <c r="B12" s="23" t="s">
        <v>69</v>
      </c>
    </row>
    <row r="13" customFormat="false" ht="15" hidden="false" customHeight="true" outlineLevel="0" collapsed="false">
      <c r="A13" s="3" t="s">
        <v>17</v>
      </c>
      <c r="B13" s="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2026-08-24T22:35:59Z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