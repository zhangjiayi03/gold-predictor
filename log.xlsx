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<sst xmlns="http://schemas.openxmlformats.org/spreadsheetml/2006/main" count="294" uniqueCount="180">
  <si>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</si>
  <si>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</si>
  <si>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</si>
  <si>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</si>
  <si>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</si>
  <si>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</si>
  <si>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</si>
  <si>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</si>
  <si>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</si>
  <si>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</si>
  <si>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</si>
  <si>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</si>
  <si>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</si>
  <si>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</si>
  <si>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</si>
  <si>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</si>
  <si>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</si>
  <si>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</si>
  <si>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</si>
  <si>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</si>
  <si>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</si>
  <si>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</si>
  <si>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</si>
  <si>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</si>
  <si>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</si>
  <si>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</si>
  <si>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</si>
  <si>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</si>
  <si>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</si>
  <si>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</si>
  <si>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</si>
  <si>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</si>
  <si>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</si>
  <si>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</si>
  <si>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</si>
  <si>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</si>
  <si>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</si>
  <si>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</si>
  <si>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</si>
  <si>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</si>
  <si>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</si>
  <si>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</si>
  <si>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</si>
  <si>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</si>
  <si>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</si>
  <si>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</si>
  <si>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</si>
  <si>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</si>
  <si>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</si>
  <si>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</si>
  <si>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</si>
  <si>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</si>
  <si>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</si>
  <si>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</si>
  <si>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</si>
  <si>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</si>
  <si>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</si>
  <si>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</si>
  <si>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</si>
  <si>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</si>
  <si>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</si>
  <si>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</si>
  <si>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</si>
  <si>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</si>
  <si>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</si>
  <si>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</si>
  <si>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</si>
  <si>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</si>
  <si>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</si>
  <si>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</si>
  <si>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</si>
  <si>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</si>
  <si>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</si>
  <si>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</si>
  <si>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</si>
  <si>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</si>
  <si>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</si>
  <si>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</si>
  <si>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</si>
  <si>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</si>
  <si>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</si>
  <si>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</si>
  <si>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</si>
  <si>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</si>
  <si>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</si>
  <si>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</si>
  <si>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</si>
  <si>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</si>
  <si>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</si>
  <si>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</si>
  <si>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</si>
  <si>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</si>
  <si>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</si>
  <si>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</si>
  <si>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</si>
  <si>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</si>
  <si>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</si>
  <si>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</si>
  <si>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</si>
  <si>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</si>
  <si>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</si>
  <si>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</si>
  <si>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</si>
  <si>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</si>
  <si>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</si>
  <si>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</si>
  <si>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</si>
  <si>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</si>
  <si>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</si>
  <si>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</si>
  <si>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</si>
  <si>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</si>
  <si>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</si>
  <si>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</si>
  <si>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</si>
  <si>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</si>
  <si>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</si>
  <si>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</si>
  <si>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</si>
  <si>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</si>
  <si>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</si>
  <si>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</si>
  <si>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</si>
  <si>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</si>
  <si>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</si>
  <si>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</si>
  <si>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</si>
  <si>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</si>
  <si>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</si>
  <si>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</si>
  <si>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</si>
  <si>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</si>
  <si>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</si>
  <si>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-5.63%·</t>
    </r>
    <r>
      <rPr>
        <sz val="11"/>
        <color rgb="FF000000"/>
        <rFont val="Noto Sans CJK SC"/>
        <family val="2"/>
      </rPr>
      <t xml:space="preserve">窗口滚动纳入</t>
    </r>
    <r>
      <rPr>
        <sz val="11"/>
        <color rgb="FF000000"/>
        <rFont val="Calibri"/>
        <family val="2"/>
        <charset val="1"/>
      </rPr>
      <t xml:space="preserve">8/21</t>
    </r>
    <r>
      <rPr>
        <sz val="11"/>
        <color rgb="FF000000"/>
        <rFont val="Noto Sans CJK SC"/>
        <family val="2"/>
      </rPr>
      <t xml:space="preserve">高基数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+7.40%</t>
    </r>
    <r>
      <rPr>
        <sz val="11"/>
        <color rgb="FF000000"/>
        <rFont val="Noto Sans CJK SC"/>
        <family val="2"/>
      </rPr>
      <t xml:space="preserve">长期涨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-1.78%</t>
    </r>
    <r>
      <rPr>
        <sz val="11"/>
        <color rgb="FF000000"/>
        <rFont val="Noto Sans CJK SC"/>
        <family val="2"/>
      </rPr>
      <t xml:space="preserve">短期整理背离</t>
    </r>
    <r>
      <rPr>
        <sz val="11"/>
        <color rgb="FF000000"/>
        <rFont val="Calibri"/>
        <family val="2"/>
        <charset val="1"/>
      </rPr>
      <t xml:space="preserve">·FOMC</t>
    </r>
    <r>
      <rPr>
        <sz val="11"/>
        <color rgb="FF000000"/>
        <rFont val="Noto Sans CJK SC"/>
        <family val="2"/>
      </rPr>
      <t xml:space="preserve">鹰派落地后第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交易日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隔夜深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回补次日</t>
    </r>
  </si>
  <si>
    <r>
      <rPr>
        <sz val="11"/>
        <color rgb="FF000000"/>
        <rFont val="Noto Sans CJK SC"/>
        <family val="2"/>
      </rPr>
      <t xml:space="preserve">隔夜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型吸收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下探</t>
    </r>
    <r>
      <rPr>
        <sz val="11"/>
        <color rgb="FF000000"/>
        <rFont val="Calibri"/>
        <family val="2"/>
        <charset val="1"/>
      </rPr>
      <t xml:space="preserve">$4,314.8</t>
    </r>
    <r>
      <rPr>
        <sz val="11"/>
        <color rgb="FF000000"/>
        <rFont val="Noto Sans CJK SC"/>
        <family val="2"/>
      </rPr>
      <t xml:space="preserve">创两周新低却以</t>
    </r>
    <r>
      <rPr>
        <sz val="11"/>
        <color rgb="FF000000"/>
        <rFont val="Calibri"/>
        <family val="2"/>
        <charset val="1"/>
      </rPr>
      <t xml:space="preserve">$4,364.7</t>
    </r>
    <r>
      <rPr>
        <sz val="11"/>
        <color rgb="FF000000"/>
        <rFont val="Noto Sans CJK SC"/>
        <family val="2"/>
      </rPr>
      <t xml:space="preserve">更高收盘</t>
    </r>
    <r>
      <rPr>
        <sz val="11"/>
        <color rgb="FF000000"/>
        <rFont val="Calibri"/>
        <family val="2"/>
        <charset val="1"/>
      </rPr>
      <t xml:space="preserve">+0.25%,</t>
    </r>
    <r>
      <rPr>
        <sz val="11"/>
        <color rgb="FF000000"/>
        <rFont val="Noto Sans CJK SC"/>
        <family val="2"/>
      </rPr>
      <t xml:space="preserve">连续两窗美盘强势回补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央行连购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Q2+51t)</t>
    </r>
    <r>
      <rPr>
        <sz val="11"/>
        <color rgb="FF000000"/>
        <rFont val="Noto Sans CJK SC"/>
        <family val="2"/>
      </rPr>
      <t xml:space="preserve">与</t>
    </r>
    <r>
      <rPr>
        <sz val="11"/>
        <color rgb="FF000000"/>
        <rFont val="Calibri"/>
        <family val="2"/>
        <charset val="1"/>
      </rPr>
      <t xml:space="preserve">$4,310-4,334</t>
    </r>
    <r>
      <rPr>
        <sz val="11"/>
        <color rgb="FF000000"/>
        <rFont val="Noto Sans CJK SC"/>
        <family val="2"/>
      </rPr>
      <t xml:space="preserve">双底承接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鹰派钝化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加息落地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点阵图已定价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美元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收益率企稳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 vs $4,380-4,400</t>
    </r>
    <r>
      <rPr>
        <sz val="11"/>
        <color rgb="FF000000"/>
        <rFont val="Noto Sans CJK SC"/>
        <family val="2"/>
      </rPr>
      <t xml:space="preserve">阻力带两度实测有效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]+CFTC/ETF</t>
    </r>
    <r>
      <rPr>
        <sz val="11"/>
        <color rgb="FF000000"/>
        <rFont val="Noto Sans CJK SC"/>
        <family val="2"/>
      </rPr>
      <t xml:space="preserve">投机持仓续降</t>
    </r>
    <r>
      <rPr>
        <sz val="11"/>
        <color rgb="FF000000"/>
        <rFont val="Calibri"/>
        <family val="2"/>
        <charset val="1"/>
      </rPr>
      <t xml:space="preserve">+VIX14.87</t>
    </r>
    <r>
      <rPr>
        <sz val="11"/>
        <color rgb="FF000000"/>
        <rFont val="Noto Sans CJK SC"/>
        <family val="2"/>
      </rPr>
      <t xml:space="preserve">避险退潮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今窗</t>
    </r>
    <r>
      <rPr>
        <sz val="11"/>
        <color rgb="FF000000"/>
        <rFont val="Calibri"/>
        <family val="2"/>
        <charset val="1"/>
      </rPr>
      <t xml:space="preserve">Fedspeak/PMI</t>
    </r>
    <r>
      <rPr>
        <sz val="11"/>
        <color rgb="FF000000"/>
        <rFont val="Noto Sans CJK SC"/>
        <family val="2"/>
      </rPr>
      <t xml:space="preserve">偏鹰风险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押区间承托的小幅续涨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上沿</t>
    </r>
    <r>
      <rPr>
        <sz val="11"/>
        <color rgb="FF000000"/>
        <rFont val="Calibri"/>
        <family val="2"/>
        <charset val="1"/>
      </rPr>
      <t xml:space="preserve">$4,378</t>
    </r>
    <r>
      <rPr>
        <sz val="11"/>
        <color rgb="FF000000"/>
        <rFont val="Noto Sans CJK SC"/>
        <family val="2"/>
      </rPr>
      <t xml:space="preserve">为分水岭</t>
    </r>
  </si>
  <si>
    <r>
      <rPr>
        <sz val="11"/>
        <color rgb="FF000000"/>
        <rFont val="Noto Sans CJK SC"/>
        <family val="2"/>
      </rPr>
      <t xml:space="preserve">周三</t>
    </r>
    <r>
      <rPr>
        <sz val="11"/>
        <color rgb="FF000000"/>
        <rFont val="Calibri"/>
        <family val="2"/>
        <charset val="1"/>
      </rPr>
      <t xml:space="preserve">06:40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);9/22</t>
    </r>
    <r>
      <rPr>
        <sz val="11"/>
        <color rgb="FF000000"/>
        <rFont val="Noto Sans CJK SC"/>
        <family val="2"/>
      </rPr>
      <t xml:space="preserve">结算</t>
    </r>
    <r>
      <rPr>
        <sz val="11"/>
        <color rgb="FF000000"/>
        <rFont val="Calibri"/>
        <family val="2"/>
        <charset val="1"/>
      </rPr>
      <t xml:space="preserve">××(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vs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+0.25%</t>
    </r>
    <r>
      <rPr>
        <sz val="11"/>
        <color rgb="FF000000"/>
        <rFont val="Noto Sans CJK SC"/>
        <family val="2"/>
      </rPr>
      <t xml:space="preserve">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午后</t>
    </r>
    <r>
      <rPr>
        <sz val="11"/>
        <color rgb="FF000000"/>
        <rFont val="Calibri"/>
        <family val="2"/>
        <charset val="1"/>
      </rPr>
      <t xml:space="preserve">-0.91%</t>
    </r>
    <r>
      <rPr>
        <sz val="11"/>
        <color rgb="FF000000"/>
        <rFont val="Noto Sans CJK SC"/>
        <family val="2"/>
      </rPr>
      <t xml:space="preserve">在轨被美盘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型回补逆转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后方向转涨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非追结果——独立新证据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更低下探</t>
    </r>
    <r>
      <rPr>
        <sz val="11"/>
        <color rgb="FF000000"/>
        <rFont val="Calibri"/>
        <family val="2"/>
        <charset val="1"/>
      </rPr>
      <t xml:space="preserve">$4,314.8</t>
    </r>
    <r>
      <rPr>
        <sz val="11"/>
        <color rgb="FF000000"/>
        <rFont val="Noto Sans CJK SC"/>
        <family val="2"/>
      </rPr>
      <t xml:space="preserve">却更高收盘的卖压吸收形态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美元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收益率由续升转企稳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幅度押小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窗</t>
    </r>
    <r>
      <rPr>
        <sz val="11"/>
        <color rgb="FF000000"/>
        <rFont val="Calibri"/>
        <family val="2"/>
        <charset val="1"/>
      </rPr>
      <t xml:space="preserve">|-0.54%|→|+0.25%|</t>
    </r>
    <r>
      <rPr>
        <sz val="11"/>
        <color rgb="FF000000"/>
        <rFont val="Noto Sans CJK SC"/>
        <family val="2"/>
      </rPr>
      <t xml:space="preserve">递减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事件真空</t>
    </r>
    <r>
      <rPr>
        <sz val="11"/>
        <color rgb="FF000000"/>
        <rFont val="Calibri"/>
        <family val="2"/>
        <charset val="1"/>
      </rPr>
      <t xml:space="preserve">(FOMC</t>
    </r>
    <r>
      <rPr>
        <sz val="11"/>
        <color rgb="FF000000"/>
        <rFont val="Noto Sans CJK SC"/>
        <family val="2"/>
      </rPr>
      <t xml:space="preserve">已落地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耐用品周五</t>
    </r>
    <r>
      <rPr>
        <sz val="11"/>
        <color rgb="FF000000"/>
        <rFont val="Calibri"/>
        <family val="2"/>
        <charset val="1"/>
      </rPr>
      <t xml:space="preserve">/PCE9/30)+</t>
    </r>
    <r>
      <rPr>
        <sz val="11"/>
        <color rgb="FF000000"/>
        <rFont val="Noto Sans CJK SC"/>
        <family val="2"/>
      </rPr>
      <t xml:space="preserve">双向关键位距现价</t>
    </r>
    <r>
      <rPr>
        <sz val="11"/>
        <color rgb="FF000000"/>
        <rFont val="Calibri"/>
        <family val="2"/>
        <charset val="1"/>
      </rPr>
      <t xml:space="preserve">&lt;0.4%</t>
    </r>
    <r>
      <rPr>
        <sz val="11"/>
        <color rgb="FF000000"/>
        <rFont val="Noto Sans CJK SC"/>
        <family val="2"/>
      </rPr>
      <t xml:space="preserve">区间收敛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22/20</t>
    </r>
    <r>
      <rPr>
        <sz val="11"/>
        <color rgb="FF000000"/>
        <rFont val="Noto Sans CJK SC"/>
        <family val="2"/>
      </rPr>
      <t xml:space="preserve">达标校准良好</t>
    </r>
    <r>
      <rPr>
        <sz val="11"/>
        <color rgb="FF000000"/>
        <rFont val="Calibri"/>
        <family val="2"/>
        <charset val="1"/>
      </rPr>
      <t xml:space="preserve">(+3.2pp</t>
    </r>
    <r>
      <rPr>
        <sz val="11"/>
        <color rgb="FF000000"/>
        <rFont val="Noto Sans CJK SC"/>
        <family val="2"/>
      </rPr>
      <t xml:space="preserve">在</t>
    </r>
    <r>
      <rPr>
        <sz val="11"/>
        <color rgb="FF000000"/>
        <rFont val="Calibri"/>
        <family val="2"/>
        <charset val="1"/>
      </rPr>
      <t xml:space="preserve">±5pp</t>
    </r>
    <r>
      <rPr>
        <sz val="11"/>
        <color rgb="FF000000"/>
        <rFont val="Noto Sans CJK SC"/>
        <family val="2"/>
      </rPr>
      <t xml:space="preserve">容忍带</t>
    </r>
    <r>
      <rPr>
        <sz val="11"/>
        <color rgb="FF000000"/>
        <rFont val="Calibri"/>
        <family val="2"/>
        <charset val="1"/>
      </rPr>
      <t xml:space="preserve">,Brier0.2448),</t>
    </r>
    <r>
      <rPr>
        <sz val="11"/>
        <color rgb="FF000000"/>
        <rFont val="Noto Sans CJK SC"/>
        <family val="2"/>
      </rPr>
      <t xml:space="preserve">冻结期已满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三条待改项待用户定夺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</si>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</sst>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16" t="s">
        <v>20</v>
      </c>
      <c r="E24" s="16" t="s">
        <v>38</v>
      </c>
      <c r="F24" s="16" t="s">
        <v>20</v>
      </c>
      <c r="G24" s="16" t="s">
        <v>38</v>
      </c>
      <c r="H24" s="16" t="s">
        <v>22</v>
      </c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16" t="s">
        <v>133</v>
      </c>
      <c r="P24" s="16" t="s">
        <v>134</v>
      </c>
      <c r="Q24" s="16" t="s">
        <v>135</v>
      </c>
      <c r="R24" s="0" t="n">
        <v>55</v>
      </c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136</v>
      </c>
    </row>
    <row r="3" customFormat="false" ht="15" hidden="false" customHeight="true" outlineLevel="0" collapsed="false">
      <c r="A3" s="18" t="s">
        <v>137</v>
      </c>
      <c r="B3" s="19" t="n">
        <f aca="false">COUNTIF(预测日志!M2:M1000,"√")+COUNTIF(预测日志!M2:M1000,"×")</f>
        <v>22</v>
      </c>
    </row>
    <row r="4" customFormat="false" ht="15" hidden="false" customHeight="true" outlineLevel="0" collapsed="false">
      <c r="A4" s="18" t="s">
        <v>138</v>
      </c>
      <c r="B4" s="19" t="n">
        <f aca="false">COUNTA(预测日志!A2:A1000)</f>
        <v>23</v>
      </c>
    </row>
    <row r="5" customFormat="false" ht="15" hidden="false" customHeight="true" outlineLevel="0" collapsed="false">
      <c r="A5" s="20" t="s">
        <v>139</v>
      </c>
      <c r="B5" s="21" t="n">
        <f aca="false">IFERROR(COUNTIF(预测日志!M2:M1000,"√")/B3,"-")</f>
        <v>0.590909090909091</v>
      </c>
    </row>
    <row r="6" customFormat="false" ht="15" hidden="false" customHeight="true" outlineLevel="0" collapsed="false">
      <c r="A6" s="18" t="s">
        <v>140</v>
      </c>
      <c r="B6" s="22" t="n">
        <f aca="false">IFERROR(COUNTIF(预测日志!N2:N1000,"√")/(COUNTIF(预测日志!N2:N1000,"√")+COUNTIF(预测日志!N2:N1000,"×")),"-")</f>
        <v>0.409090909090909</v>
      </c>
    </row>
    <row r="7" customFormat="false" ht="15" hidden="false" customHeight="true" outlineLevel="0" collapsed="false">
      <c r="A7" s="20" t="s">
        <v>141</v>
      </c>
      <c r="B7" s="21" t="n">
        <f aca="true">IFERROR(COUNTIF(OFFSET(预测日志!$M$1,B3-MIN(30,B3)+1,0,MIN(30,B3),1),"√")/MIN(30,B3),"-")</f>
        <v>0.590909090909091</v>
      </c>
    </row>
    <row r="8" customFormat="false" ht="15" hidden="false" customHeight="true" outlineLevel="0" collapsed="false">
      <c r="A8" s="18" t="s">
        <v>142</v>
      </c>
      <c r="B8" s="22" t="n">
        <f aca="true">IFERROR(COUNTIF(OFFSET(预测日志!$N$1,B3-MIN(30,B3)+1,0,MIN(30,B3),1),"√")/MIN(30,B3),"-")</f>
        <v>0.409090909090909</v>
      </c>
    </row>
    <row r="9" customFormat="false" ht="15" hidden="false" customHeight="true" outlineLevel="0" collapsed="false">
      <c r="A9" s="18" t="s">
        <v>143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0.5625</v>
      </c>
    </row>
    <row r="10" customFormat="false" ht="15" hidden="false" customHeight="true" outlineLevel="0" collapsed="false">
      <c r="A10" s="18" t="s">
        <v>144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145</v>
      </c>
    </row>
    <row r="13" customFormat="false" ht="15" hidden="false" customHeight="true" outlineLevel="0" collapsed="false">
      <c r="A13" s="3" t="s">
        <v>146</v>
      </c>
      <c r="B13" s="1" t="n">
        <f aca="false">COUNT(预测日志!R2:R1000)</f>
        <v>23</v>
      </c>
    </row>
    <row r="14" customFormat="false" ht="15" hidden="false" customHeight="true" outlineLevel="0" collapsed="false">
      <c r="A14" s="3" t="s">
        <v>147</v>
      </c>
      <c r="B14" s="1" t="n">
        <f aca="false">COUNTIFS(预测日志!R2:R1000,"&gt;0",预测日志!M2:M1000,"√")+COUNTIFS(预测日志!R2:R1000,"&gt;0",预测日志!M2:M1000,"×")</f>
        <v>22</v>
      </c>
    </row>
    <row r="15" customFormat="false" ht="15" hidden="false" customHeight="true" outlineLevel="0" collapsed="false">
      <c r="A15" s="3" t="s">
        <v>148</v>
      </c>
      <c r="B15" s="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150</v>
      </c>
    </row>
    <row r="3" customFormat="false" ht="15" hidden="false" customHeight="true" outlineLevel="0" collapsed="false">
      <c r="A3" s="25" t="s">
        <v>151</v>
      </c>
      <c r="B3" s="26" t="s">
        <v>152</v>
      </c>
    </row>
    <row r="4" customFormat="false" ht="15" hidden="false" customHeight="true" outlineLevel="0" collapsed="false">
      <c r="A4" s="25" t="s">
        <v>153</v>
      </c>
      <c r="B4" s="26" t="s">
        <v>154</v>
      </c>
    </row>
    <row r="5" customFormat="false" ht="15" hidden="false" customHeight="true" outlineLevel="0" collapsed="false">
      <c r="A5" s="25" t="s">
        <v>155</v>
      </c>
      <c r="B5" s="26" t="s">
        <v>156</v>
      </c>
    </row>
    <row r="6" customFormat="false" ht="15" hidden="false" customHeight="true" outlineLevel="0" collapsed="false">
      <c r="A6" s="25" t="s">
        <v>157</v>
      </c>
      <c r="B6" s="26" t="s">
        <v>158</v>
      </c>
    </row>
    <row r="7" customFormat="false" ht="15" hidden="false" customHeight="true" outlineLevel="0" collapsed="false">
      <c r="A7" s="25" t="s">
        <v>159</v>
      </c>
      <c r="B7" s="26" t="s">
        <v>160</v>
      </c>
    </row>
    <row r="8" customFormat="false" ht="15" hidden="false" customHeight="true" outlineLevel="0" collapsed="false">
      <c r="A8" s="25" t="s">
        <v>7</v>
      </c>
      <c r="B8" s="26" t="s">
        <v>161</v>
      </c>
    </row>
    <row r="9" customFormat="false" ht="15" hidden="false" customHeight="true" outlineLevel="0" collapsed="false">
      <c r="A9" s="25" t="s">
        <v>14</v>
      </c>
      <c r="B9" s="26" t="s">
        <v>162</v>
      </c>
    </row>
    <row r="10" customFormat="false" ht="15" hidden="false" customHeight="true" outlineLevel="0" collapsed="false">
      <c r="A10" s="25" t="s">
        <v>163</v>
      </c>
      <c r="B10" s="27" t="s">
        <v>164</v>
      </c>
    </row>
    <row r="11" customFormat="false" ht="15" hidden="false" customHeight="true" outlineLevel="0" collapsed="false">
      <c r="A11" s="25" t="s">
        <v>165</v>
      </c>
      <c r="B11" s="26" t="s">
        <v>166</v>
      </c>
    </row>
    <row r="12" customFormat="false" ht="15" hidden="false" customHeight="true" outlineLevel="0" collapsed="false">
      <c r="A12" s="25" t="s">
        <v>167</v>
      </c>
      <c r="B12" s="27" t="s">
        <v>168</v>
      </c>
    </row>
    <row r="13" customFormat="false" ht="15" hidden="false" customHeight="true" outlineLevel="0" collapsed="false">
      <c r="A13" s="3" t="s">
        <v>17</v>
      </c>
      <c r="B13" s="3" t="s">
        <v>169</v>
      </c>
    </row>
    <row r="14" customFormat="false" ht="15" hidden="false" customHeight="true" outlineLevel="0" collapsed="false">
      <c r="A14" s="3" t="s">
        <v>170</v>
      </c>
      <c r="B14" s="3" t="s">
        <v>171</v>
      </c>
    </row>
    <row r="15" customFormat="false" ht="15" hidden="false" customHeight="true" outlineLevel="0" collapsed="false">
      <c r="A15" s="3" t="s">
        <v>172</v>
      </c>
      <c r="B15" s="1" t="s">
        <v>173</v>
      </c>
    </row>
    <row r="16" customFormat="false" ht="15" hidden="false" customHeight="true" outlineLevel="0" collapsed="false">
      <c r="A16" s="3" t="s">
        <v>174</v>
      </c>
      <c r="B16" s="3" t="s">
        <v>175</v>
      </c>
    </row>
    <row r="17" customFormat="false" ht="15" hidden="false" customHeight="true" outlineLevel="0" collapsed="false">
      <c r="A17" s="3" t="s">
        <v>176</v>
      </c>
      <c r="B17" s="3" t="s">
        <v>177</v>
      </c>
    </row>
    <row r="18" customFormat="false" ht="15" hidden="false" customHeight="true" outlineLevel="0" collapsed="false">
      <c r="A18" s="3" t="s">
        <v>178</v>
      </c>
      <c r="B18" s="3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2026-09-22T22:40:35Z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