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<sst xmlns="http://schemas.openxmlformats.org/spreadsheetml/2006/main" count="284" uniqueCount="175">
  <si>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</si>
  <si>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</si>
  <si>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</si>
  <si>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</si>
  <si>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</si>
  <si>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</si>
  <si>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</si>
  <si>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</si>
  <si>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</si>
  <si>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</si>
  <si>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</si>
  <si>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</si>
  <si>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</si>
  <si>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</si>
  <si>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</si>
  <si>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</si>
  <si>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</si>
  <si>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</si>
  <si>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</si>
  <si>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</si>
  <si>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</si>
  <si>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</si>
  <si>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</si>
  <si>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</si>
  <si>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</si>
  <si>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</si>
  <si>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</si>
  <si>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</si>
  <si>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</si>
  <si>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</si>
  <si>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</si>
  <si>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</si>
  <si>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</si>
  <si>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</si>
  <si>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</si>
  <si>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</si>
  <si>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</si>
  <si>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</si>
  <si>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</si>
  <si>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</si>
  <si>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</si>
  <si>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</si>
  <si>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</si>
  <si>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</si>
  <si>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</si>
  <si>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</si>
  <si>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</si>
  <si>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</si>
  <si>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</si>
  <si>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</si>
  <si>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</si>
  <si>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</si>
  <si>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</si>
  <si>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</si>
  <si>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</si>
  <si>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</si>
  <si>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</si>
  <si>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</si>
  <si>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</si>
  <si>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</si>
  <si>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</si>
  <si>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</si>
  <si>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</si>
  <si>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</si>
  <si>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</si>
  <si>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</si>
  <si>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</si>
  <si>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</si>
  <si>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</si>
  <si>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</si>
  <si>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</si>
  <si>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</si>
  <si>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</si>
  <si>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</si>
  <si>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</si>
  <si>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</si>
  <si>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</si>
  <si>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</si>
  <si>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</si>
  <si>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</si>
  <si>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</si>
  <si>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</si>
  <si>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</si>
  <si>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</si>
  <si>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</si>
  <si>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</si>
  <si>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</si>
  <si>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</si>
  <si>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</si>
  <si>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</si>
  <si>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</si>
  <si>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</si>
  <si>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</si>
  <si>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</si>
  <si>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</si>
  <si>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</si>
  <si>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</si>
  <si>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</si>
  <si>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</si>
  <si>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</si>
  <si>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</si>
  <si>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</si>
  <si>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</si>
  <si>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</si>
  <si>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</si>
  <si>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</si>
  <si>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</si>
  <si>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</si>
  <si>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</si>
  <si>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</si>
  <si>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</si>
  <si>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</si>
  <si>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</si>
  <si>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</si>
  <si>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</si>
  <si>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</si>
  <si>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2026-09-18</t>
  </si>
  <si>
    <t xml:space="preserve">2026-09-18 06:37</t>
  </si>
  <si>
    <t xml:space="preserve">震荡(20日-1.71%)·60日+7.55%长期趋势涨vs10日-1.23%短期修复背离收敛·FOMC落地次日逆势大涨后的延续消化日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</si>
  <si>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利空出尽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鹰派加息落地后隔夜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探底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+1.78%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$4,346,</t>
    </r>
    <r>
      <rPr>
        <sz val="11"/>
        <color rgb="FF000000"/>
        <rFont val="Noto Sans CJK SC"/>
        <family val="2"/>
      </rPr>
      <t xml:space="preserve">隔夜稳守</t>
    </r>
    <r>
      <rPr>
        <sz val="11"/>
        <color rgb="FF000000"/>
        <rFont val="Calibri"/>
        <family val="2"/>
        <charset val="1"/>
      </rPr>
      <t xml:space="preserve">$4,340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)·PBOC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伊朗地缘周末避险留仓；风险</t>
    </r>
    <r>
      <rPr>
        <sz val="11"/>
        <color rgb="FF000000"/>
        <rFont val="Calibri"/>
        <family val="2"/>
        <charset val="1"/>
      </rPr>
      <t xml:space="preserve">:4380-4400</t>
    </r>
    <r>
      <rPr>
        <sz val="11"/>
        <color rgb="FF000000"/>
        <rFont val="Noto Sans CJK SC"/>
        <family val="2"/>
      </rPr>
      <t xml:space="preserve">密集阻力</t>
    </r>
    <r>
      <rPr>
        <sz val="11"/>
        <color rgb="FF000000"/>
        <rFont val="Calibri"/>
        <family val="2"/>
        <charset val="1"/>
      </rPr>
      <t xml:space="preserve">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窗口涨跌严格交替今轮跌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日获利回吐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</si>
  <si>
    <t xml:space="preserve">周五06:31定时执行成功(克隆仓库版)；凌晨00:22 Actions提前结算9/17行已按口径修正(中段价4367.8→4346.90)并recalc</t>
  </si>
  <si>
    <t xml:space="preserve">2026-09-21</t>
  </si>
  <si>
    <t xml:space="preserve">2026-09-21 06:53</t>
  </si>
  <si>
    <t xml:space="preserve">趋势跌(20日-3.01%·窗口滚动由震荡翻空)·60日+6.78%长期涨vs10日-1.52%短期修复背离·FOMC鹰派落地后第3交易日</t>
  </si>
  <si>
    <t xml:space="preserve">周五午后冲$4,396.9遭$4,380-4,400阻力带打回收$4,379+周一平开$4,377.5无追涨[未释放]+VIX三连降至14.81避险退潮[部分定价]+20日窗口滚动翻趋势跌-3.01%+点阵图16/18年内再加息余波[已定价] vs 央行连购22个月与地缘尾部垫底[未释放]</t>
  </si>
  <si>
    <t xml:space="preserve">周一06:53晨间定时执行成功(克隆仓库版)；方向押跌+档位押中:阻力带供给周五实测确认+平开无追涨+避险退潮+市况翻趋势跌,两连涨窗口后回吐;校准达标20/20(校准良好+4.0pp偏保守,Brier 0.2440),冻结期已满,三条待改项待用户定夺,本判断沿用冻结前规则</t>
  </si>
  <si>
    <t xml:space="preserve">2026-09-22</t>
  </si>
  <si>
    <t xml:space="preserve">2026-09-22 06:35</t>
  </si>
  <si>
    <r>
      <rPr>
        <sz val="11"/>
        <color rgb="FF000000"/>
        <rFont val="Noto Sans CJK SC"/>
        <family val="2"/>
      </rPr>
      <t xml:space="preserve">趋势跌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-3.01%)·60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+6.78%</t>
    </r>
    <r>
      <rPr>
        <sz val="11"/>
        <color rgb="FF000000"/>
        <rFont val="Noto Sans CJK SC"/>
        <family val="2"/>
      </rPr>
      <t xml:space="preserve">长期涨</t>
    </r>
    <r>
      <rPr>
        <sz val="11"/>
        <color rgb="FF000000"/>
        <rFont val="Calibri"/>
        <family val="2"/>
        <charset val="1"/>
      </rPr>
      <t xml:space="preserve">vs</t>
    </r>
    <r>
      <rPr>
        <sz val="11"/>
        <color rgb="FF000000"/>
        <rFont val="Noto Sans CJK SC"/>
        <family val="2"/>
      </rPr>
      <t xml:space="preserve">短期反弹回吐</t>
    </r>
    <r>
      <rPr>
        <sz val="11"/>
        <color rgb="FF000000"/>
        <rFont val="Calibri"/>
        <family val="2"/>
        <charset val="1"/>
      </rPr>
      <t xml:space="preserve">1/3</t>
    </r>
    <r>
      <rPr>
        <sz val="11"/>
        <color rgb="FF000000"/>
        <rFont val="Noto Sans CJK SC"/>
        <family val="2"/>
      </rPr>
      <t xml:space="preserve">背离</t>
    </r>
    <r>
      <rPr>
        <sz val="11"/>
        <color rgb="FF000000"/>
        <rFont val="Calibri"/>
        <family val="2"/>
        <charset val="1"/>
      </rPr>
      <t xml:space="preserve">·FOMC</t>
    </r>
    <r>
      <rPr>
        <sz val="11"/>
        <color rgb="FF000000"/>
        <rFont val="Noto Sans CJK SC"/>
        <family val="2"/>
      </rPr>
      <t xml:space="preserve">鹰派落地后第</t>
    </r>
    <r>
      <rPr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Noto Sans CJK SC"/>
        <family val="2"/>
      </rPr>
      <t xml:space="preserve">交易日</t>
    </r>
  </si>
  <si>
    <r>
      <rPr>
        <sz val="11"/>
        <color rgb="FF000000"/>
        <rFont val="Noto Sans CJK SC"/>
        <family val="2"/>
      </rPr>
      <t xml:space="preserve">昨收</t>
    </r>
    <r>
      <rPr>
        <sz val="11"/>
        <color rgb="FF000000"/>
        <rFont val="Calibri"/>
        <family val="2"/>
        <charset val="1"/>
      </rPr>
      <t xml:space="preserve">$4,353.9</t>
    </r>
    <r>
      <rPr>
        <sz val="11"/>
        <color rgb="FF000000"/>
        <rFont val="Noto Sans CJK SC"/>
        <family val="2"/>
      </rPr>
      <t xml:space="preserve">贴</t>
    </r>
    <r>
      <rPr>
        <sz val="11"/>
        <color rgb="FF000000"/>
        <rFont val="Calibri"/>
        <family val="2"/>
        <charset val="1"/>
      </rPr>
      <t xml:space="preserve">$4,348</t>
    </r>
    <r>
      <rPr>
        <sz val="11"/>
        <color rgb="FF000000"/>
        <rFont val="Noto Sans CJK SC"/>
        <family val="2"/>
      </rPr>
      <t xml:space="preserve">定盘支撑边缘惯性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通胀热数据强化年内再加息预期</t>
    </r>
    <r>
      <rPr>
        <sz val="11"/>
        <color rgb="FF000000"/>
        <rFont val="Calibri"/>
        <family val="2"/>
        <charset val="1"/>
      </rPr>
      <t xml:space="preserve">·</t>
    </r>
    <r>
      <rPr>
        <sz val="11"/>
        <color rgb="FF000000"/>
        <rFont val="Noto Sans CJK SC"/>
        <family val="2"/>
      </rPr>
      <t xml:space="preserve">美元一个月高位</t>
    </r>
    <r>
      <rPr>
        <sz val="11"/>
        <color rgb="FF000000"/>
        <rFont val="Calibri"/>
        <family val="2"/>
        <charset val="1"/>
      </rPr>
      <t xml:space="preserve">·10Y~4.96%[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]+CFTC/ETF</t>
    </r>
    <r>
      <rPr>
        <sz val="11"/>
        <color rgb="FF000000"/>
        <rFont val="Noto Sans CJK SC"/>
        <family val="2"/>
      </rPr>
      <t xml:space="preserve">投机持仓双降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]+VIX</t>
    </r>
    <r>
      <rPr>
        <sz val="11"/>
        <color rgb="FF000000"/>
        <rFont val="Noto Sans CJK SC"/>
        <family val="2"/>
      </rPr>
      <t xml:space="preserve">三连降</t>
    </r>
    <r>
      <rPr>
        <sz val="11"/>
        <color rgb="FF000000"/>
        <rFont val="Calibri"/>
        <family val="2"/>
        <charset val="1"/>
      </rPr>
      <t xml:space="preserve">14.81</t>
    </r>
    <r>
      <rPr>
        <sz val="11"/>
        <color rgb="FF000000"/>
        <rFont val="Noto Sans CJK SC"/>
        <family val="2"/>
      </rPr>
      <t xml:space="preserve">避险退潮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 vs </t>
    </r>
    <r>
      <rPr>
        <sz val="11"/>
        <color rgb="FF000000"/>
        <rFont val="Noto Sans CJK SC"/>
        <family val="2"/>
      </rPr>
      <t xml:space="preserve">央行连购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中国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、波兰</t>
    </r>
    <r>
      <rPr>
        <sz val="11"/>
        <color rgb="FF000000"/>
        <rFont val="Calibri"/>
        <family val="2"/>
        <charset val="1"/>
      </rPr>
      <t xml:space="preserve">Q2+51t)</t>
    </r>
    <r>
      <rPr>
        <sz val="11"/>
        <color rgb="FF000000"/>
        <rFont val="Noto Sans CJK SC"/>
        <family val="2"/>
      </rPr>
      <t xml:space="preserve">与</t>
    </r>
    <r>
      <rPr>
        <sz val="11"/>
        <color rgb="FF000000"/>
        <rFont val="Calibri"/>
        <family val="2"/>
        <charset val="1"/>
      </rPr>
      <t xml:space="preserve">$4,348</t>
    </r>
    <r>
      <rPr>
        <sz val="11"/>
        <color rgb="FF000000"/>
        <rFont val="Noto Sans CJK SC"/>
        <family val="2"/>
      </rPr>
      <t xml:space="preserve">技术承接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</t>
    </r>
  </si>
  <si>
    <r>
      <rPr>
        <sz val="11"/>
        <color rgb="FF000000"/>
        <rFont val="Noto Sans CJK SC"/>
        <family val="2"/>
      </rPr>
      <t xml:space="preserve">周二</t>
    </r>
    <r>
      <rPr>
        <sz val="11"/>
        <color rgb="FF000000"/>
        <rFont val="Calibri"/>
        <family val="2"/>
        <charset val="1"/>
      </rPr>
      <t xml:space="preserve">06:35</t>
    </r>
    <r>
      <rPr>
        <sz val="11"/>
        <color rgb="FF000000"/>
        <rFont val="Noto Sans CJK SC"/>
        <family val="2"/>
      </rPr>
      <t xml:space="preserve">晨间定时执行成功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);</t>
    </r>
    <r>
      <rPr>
        <sz val="11"/>
        <color rgb="FF000000"/>
        <rFont val="Noto Sans CJK SC"/>
        <family val="2"/>
      </rPr>
      <t xml:space="preserve">方向押跌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档位押中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支撑边缘惯性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加息预期边际强化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投机离场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卖压叙事主导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两连√后不机械连押亦不因连对加码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校准</t>
    </r>
    <r>
      <rPr>
        <sz val="11"/>
        <color rgb="FF000000"/>
        <rFont val="Calibri"/>
        <family val="2"/>
        <charset val="1"/>
      </rPr>
      <t xml:space="preserve">21/20</t>
    </r>
    <r>
      <rPr>
        <sz val="11"/>
        <color rgb="FF000000"/>
        <rFont val="Noto Sans CJK SC"/>
        <family val="2"/>
      </rPr>
      <t xml:space="preserve">达标偏保守</t>
    </r>
    <r>
      <rPr>
        <sz val="11"/>
        <color rgb="FF000000"/>
        <rFont val="Calibri"/>
        <family val="2"/>
        <charset val="1"/>
      </rPr>
      <t xml:space="preserve">+6.0pp(Brier 0.2420),</t>
    </r>
    <r>
      <rPr>
        <sz val="11"/>
        <color rgb="FF000000"/>
        <rFont val="Noto Sans CJK SC"/>
        <family val="2"/>
      </rPr>
      <t xml:space="preserve">冻结期已满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三条待改项待用户定夺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本判断沿用冻结前规则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</si>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</sst>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 t="n">
        <v>4346.9</v>
      </c>
      <c r="J20" s="7" t="n">
        <f aca="false">IF(OR(I20="",C20=""),"",(I20-C20)/C20)</f>
        <v>0.0177948441780421</v>
      </c>
      <c r="K20" s="4" t="str">
        <f aca="false">IF(J20="","",IF(J20&gt;0,"涨",IF(J20&lt;0,"跌","平")))</f>
        <v>涨</v>
      </c>
      <c r="L20" s="4" t="str">
        <f aca="false">IF(J20="","",IF(ABS(J20)&lt;=0.003,"小",IF(ABS(J20)&lt;=0.01,"中","大")))</f>
        <v>大</v>
      </c>
      <c r="M20" s="4" t="str">
        <f aca="false">IF(OR(D20="",K20=""),"",IF(D20=K20,"√","×"))</f>
        <v>×</v>
      </c>
      <c r="N20" s="4" t="str">
        <f aca="false">IF(OR(E20="",L20=""),"",IF(E20=L20,"√","×"))</f>
        <v>×</v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 t="s">
        <v>116</v>
      </c>
      <c r="B21" s="8" t="s">
        <v>117</v>
      </c>
      <c r="C21" s="9" t="n">
        <v>4347.8</v>
      </c>
      <c r="D21" s="10" t="s">
        <v>20</v>
      </c>
      <c r="E21" s="10" t="s">
        <v>33</v>
      </c>
      <c r="F21" s="10" t="s">
        <v>20</v>
      </c>
      <c r="G21" s="10" t="s">
        <v>33</v>
      </c>
      <c r="H21" s="10" t="s">
        <v>22</v>
      </c>
      <c r="I21" s="9" t="n">
        <v>4379</v>
      </c>
      <c r="J21" s="11" t="n">
        <f aca="false">IF(OR(I21="",C21=""),"",(I21-C21)/C21)</f>
        <v>0.0071760430562583</v>
      </c>
      <c r="K21" s="8" t="str">
        <f aca="false">IF(J21="","",IF(J21&gt;0,"涨",IF(J21&lt;0,"跌","平")))</f>
        <v>涨</v>
      </c>
      <c r="L21" s="8" t="str">
        <f aca="false">IF(J21="","",IF(ABS(J21)&lt;=0.003,"小",IF(ABS(J21)&lt;=0.01,"中","大")))</f>
        <v>中</v>
      </c>
      <c r="M21" s="8" t="str">
        <f aca="false">IF(OR(D21="",K21=""),"",IF(D21=K21,"√","×"))</f>
        <v>√</v>
      </c>
      <c r="N21" s="8" t="str">
        <f aca="false">IF(OR(E21="",L21=""),"",IF(E21=L21,"√","×"))</f>
        <v>√</v>
      </c>
      <c r="O21" s="10" t="s">
        <v>118</v>
      </c>
      <c r="P21" s="8" t="s">
        <v>119</v>
      </c>
      <c r="Q21" s="10" t="s">
        <v>120</v>
      </c>
      <c r="R21" s="1" t="n">
        <v>55</v>
      </c>
    </row>
    <row r="22" customFormat="false" ht="15" hidden="false" customHeight="true" outlineLevel="0" collapsed="false">
      <c r="A22" s="4" t="s">
        <v>121</v>
      </c>
      <c r="B22" s="4" t="s">
        <v>122</v>
      </c>
      <c r="C22" s="5" t="n">
        <v>4377.5</v>
      </c>
      <c r="D22" s="6" t="s">
        <v>44</v>
      </c>
      <c r="E22" s="6" t="s">
        <v>33</v>
      </c>
      <c r="F22" s="6" t="s">
        <v>44</v>
      </c>
      <c r="G22" s="6" t="s">
        <v>33</v>
      </c>
      <c r="H22" s="6" t="s">
        <v>22</v>
      </c>
      <c r="I22" s="5" t="n">
        <v>4353.9</v>
      </c>
      <c r="J22" s="7" t="n">
        <f aca="false">IF(OR(I22="",C22=""),"",(I22-C22)/C22)</f>
        <v>-0.00539120502569968</v>
      </c>
      <c r="K22" s="4" t="str">
        <f aca="false">IF(J22="","",IF(J22&gt;0,"涨",IF(J22&lt;0,"跌","平")))</f>
        <v>跌</v>
      </c>
      <c r="L22" s="4" t="str">
        <f aca="false">IF(J22="","",IF(ABS(J22)&lt;=0.003,"小",IF(ABS(J22)&lt;=0.01,"中","大")))</f>
        <v>中</v>
      </c>
      <c r="M22" s="4" t="str">
        <f aca="false">IF(OR(D22="",K22=""),"",IF(D22=K22,"√","×"))</f>
        <v>√</v>
      </c>
      <c r="N22" s="4" t="str">
        <f aca="false">IF(OR(E22="",L22=""),"",IF(E22=L22,"√","×"))</f>
        <v>√</v>
      </c>
      <c r="O22" s="6" t="s">
        <v>123</v>
      </c>
      <c r="P22" s="6" t="s">
        <v>124</v>
      </c>
      <c r="Q22" s="6" t="s">
        <v>125</v>
      </c>
      <c r="R22" s="1" t="n">
        <v>55</v>
      </c>
    </row>
    <row r="23" customFormat="false" ht="15" hidden="false" customHeight="true" outlineLevel="0" collapsed="false">
      <c r="A23" s="8" t="s">
        <v>126</v>
      </c>
      <c r="B23" s="8" t="s">
        <v>127</v>
      </c>
      <c r="C23" s="9" t="n">
        <v>4353.9</v>
      </c>
      <c r="D23" s="16" t="s">
        <v>44</v>
      </c>
      <c r="E23" s="16" t="s">
        <v>33</v>
      </c>
      <c r="F23" s="16" t="s">
        <v>44</v>
      </c>
      <c r="G23" s="16" t="s">
        <v>33</v>
      </c>
      <c r="H23" s="16" t="s">
        <v>22</v>
      </c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16" t="s">
        <v>128</v>
      </c>
      <c r="P23" s="16" t="s">
        <v>129</v>
      </c>
      <c r="Q23" s="16" t="s">
        <v>130</v>
      </c>
      <c r="R23" s="0" t="n">
        <v>55</v>
      </c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7" t="s">
        <v>131</v>
      </c>
    </row>
    <row r="3" customFormat="false" ht="15" hidden="false" customHeight="true" outlineLevel="0" collapsed="false">
      <c r="A3" s="18" t="s">
        <v>132</v>
      </c>
      <c r="B3" s="19" t="n">
        <f aca="false">COUNTIF(预测日志!M2:M1000,"√")+COUNTIF(预测日志!M2:M1000,"×")</f>
        <v>21</v>
      </c>
    </row>
    <row r="4" customFormat="false" ht="15" hidden="false" customHeight="true" outlineLevel="0" collapsed="false">
      <c r="A4" s="18" t="s">
        <v>133</v>
      </c>
      <c r="B4" s="19" t="n">
        <f aca="false">COUNTA(预测日志!A2:A1000)</f>
        <v>22</v>
      </c>
    </row>
    <row r="5" customFormat="false" ht="15" hidden="false" customHeight="true" outlineLevel="0" collapsed="false">
      <c r="A5" s="20" t="s">
        <v>134</v>
      </c>
      <c r="B5" s="21" t="n">
        <f aca="false">IFERROR(COUNTIF(预测日志!M2:M1000,"√")/B3,"-")</f>
        <v>0.619047619047619</v>
      </c>
    </row>
    <row r="6" customFormat="false" ht="15" hidden="false" customHeight="true" outlineLevel="0" collapsed="false">
      <c r="A6" s="18" t="s">
        <v>135</v>
      </c>
      <c r="B6" s="22" t="n">
        <f aca="false">IFERROR(COUNTIF(预测日志!N2:N1000,"√")/(COUNTIF(预测日志!N2:N1000,"√")+COUNTIF(预测日志!N2:N1000,"×")),"-")</f>
        <v>0.428571428571429</v>
      </c>
    </row>
    <row r="7" customFormat="false" ht="15" hidden="false" customHeight="true" outlineLevel="0" collapsed="false">
      <c r="A7" s="20" t="s">
        <v>136</v>
      </c>
      <c r="B7" s="21" t="n">
        <f aca="true">IFERROR(COUNTIF(OFFSET(预测日志!$M$1,B3-MIN(30,B3)+1,0,MIN(30,B3),1),"√")/MIN(30,B3),"-")</f>
        <v>0.619047619047619</v>
      </c>
    </row>
    <row r="8" customFormat="false" ht="15" hidden="false" customHeight="true" outlineLevel="0" collapsed="false">
      <c r="A8" s="18" t="s">
        <v>137</v>
      </c>
      <c r="B8" s="22" t="n">
        <f aca="true">IFERROR(COUNTIF(OFFSET(预测日志!$N$1,B3-MIN(30,B3)+1,0,MIN(30,B3),1),"√")/MIN(30,B3),"-")</f>
        <v>0.428571428571429</v>
      </c>
    </row>
    <row r="9" customFormat="false" ht="15" hidden="false" customHeight="true" outlineLevel="0" collapsed="false">
      <c r="A9" s="18" t="s">
        <v>138</v>
      </c>
      <c r="B9" s="19" t="n">
        <f aca="false">IFERROR(COUNTIFS(预测日志!O2:O1000,"趋势*",预测日志!M2:M1000,"√")/(COUNTIFS(预测日志!O2:O1000,"趋势*",预测日志!M2:M1000,"√")+COUNTIFS(预测日志!O2:O1000,"趋势*",预测日志!M2:M1000,"×")),"-")</f>
        <v>0.6</v>
      </c>
    </row>
    <row r="10" customFormat="false" ht="15" hidden="false" customHeight="true" outlineLevel="0" collapsed="false">
      <c r="A10" s="18" t="s">
        <v>139</v>
      </c>
      <c r="B10" s="19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3" t="s">
        <v>140</v>
      </c>
    </row>
    <row r="13" customFormat="false" ht="15" hidden="false" customHeight="true" outlineLevel="0" collapsed="false">
      <c r="A13" s="3" t="s">
        <v>141</v>
      </c>
      <c r="B13" s="1" t="n">
        <f aca="false">COUNT(预测日志!R2:R1000)</f>
        <v>22</v>
      </c>
    </row>
    <row r="14" customFormat="false" ht="15" hidden="false" customHeight="true" outlineLevel="0" collapsed="false">
      <c r="A14" s="3" t="s">
        <v>142</v>
      </c>
      <c r="B14" s="1" t="n">
        <f aca="false">COUNTIFS(预测日志!R2:R1000,"&gt;0",预测日志!M2:M1000,"√")+COUNTIFS(预测日志!R2:R1000,"&gt;0",预测日志!M2:M1000,"×")</f>
        <v>21</v>
      </c>
    </row>
    <row r="15" customFormat="false" ht="15" hidden="false" customHeight="true" outlineLevel="0" collapsed="false">
      <c r="A15" s="3" t="s">
        <v>143</v>
      </c>
      <c r="B15" s="1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4" t="s">
        <v>145</v>
      </c>
    </row>
    <row r="3" customFormat="false" ht="15" hidden="false" customHeight="true" outlineLevel="0" collapsed="false">
      <c r="A3" s="25" t="s">
        <v>146</v>
      </c>
      <c r="B3" s="26" t="s">
        <v>147</v>
      </c>
    </row>
    <row r="4" customFormat="false" ht="15" hidden="false" customHeight="true" outlineLevel="0" collapsed="false">
      <c r="A4" s="25" t="s">
        <v>148</v>
      </c>
      <c r="B4" s="26" t="s">
        <v>149</v>
      </c>
    </row>
    <row r="5" customFormat="false" ht="15" hidden="false" customHeight="true" outlineLevel="0" collapsed="false">
      <c r="A5" s="25" t="s">
        <v>150</v>
      </c>
      <c r="B5" s="26" t="s">
        <v>151</v>
      </c>
    </row>
    <row r="6" customFormat="false" ht="15" hidden="false" customHeight="true" outlineLevel="0" collapsed="false">
      <c r="A6" s="25" t="s">
        <v>152</v>
      </c>
      <c r="B6" s="26" t="s">
        <v>153</v>
      </c>
    </row>
    <row r="7" customFormat="false" ht="15" hidden="false" customHeight="true" outlineLevel="0" collapsed="false">
      <c r="A7" s="25" t="s">
        <v>154</v>
      </c>
      <c r="B7" s="26" t="s">
        <v>155</v>
      </c>
    </row>
    <row r="8" customFormat="false" ht="15" hidden="false" customHeight="true" outlineLevel="0" collapsed="false">
      <c r="A8" s="25" t="s">
        <v>7</v>
      </c>
      <c r="B8" s="26" t="s">
        <v>156</v>
      </c>
    </row>
    <row r="9" customFormat="false" ht="15" hidden="false" customHeight="true" outlineLevel="0" collapsed="false">
      <c r="A9" s="25" t="s">
        <v>14</v>
      </c>
      <c r="B9" s="26" t="s">
        <v>157</v>
      </c>
    </row>
    <row r="10" customFormat="false" ht="15" hidden="false" customHeight="true" outlineLevel="0" collapsed="false">
      <c r="A10" s="25" t="s">
        <v>158</v>
      </c>
      <c r="B10" s="27" t="s">
        <v>159</v>
      </c>
    </row>
    <row r="11" customFormat="false" ht="15" hidden="false" customHeight="true" outlineLevel="0" collapsed="false">
      <c r="A11" s="25" t="s">
        <v>160</v>
      </c>
      <c r="B11" s="26" t="s">
        <v>161</v>
      </c>
    </row>
    <row r="12" customFormat="false" ht="15" hidden="false" customHeight="true" outlineLevel="0" collapsed="false">
      <c r="A12" s="25" t="s">
        <v>162</v>
      </c>
      <c r="B12" s="27" t="s">
        <v>163</v>
      </c>
    </row>
    <row r="13" customFormat="false" ht="15" hidden="false" customHeight="true" outlineLevel="0" collapsed="false">
      <c r="A13" s="3" t="s">
        <v>17</v>
      </c>
      <c r="B13" s="3" t="s">
        <v>164</v>
      </c>
    </row>
    <row r="14" customFormat="false" ht="15" hidden="false" customHeight="true" outlineLevel="0" collapsed="false">
      <c r="A14" s="3" t="s">
        <v>165</v>
      </c>
      <c r="B14" s="3" t="s">
        <v>166</v>
      </c>
    </row>
    <row r="15" customFormat="false" ht="15" hidden="false" customHeight="true" outlineLevel="0" collapsed="false">
      <c r="A15" s="3" t="s">
        <v>167</v>
      </c>
      <c r="B15" s="1" t="s">
        <v>168</v>
      </c>
    </row>
    <row r="16" customFormat="false" ht="15" hidden="false" customHeight="true" outlineLevel="0" collapsed="false">
      <c r="A16" s="3" t="s">
        <v>169</v>
      </c>
      <c r="B16" s="3" t="s">
        <v>170</v>
      </c>
    </row>
    <row r="17" customFormat="false" ht="15" hidden="false" customHeight="true" outlineLevel="0" collapsed="false">
      <c r="A17" s="3" t="s">
        <v>171</v>
      </c>
      <c r="B17" s="3" t="s">
        <v>172</v>
      </c>
    </row>
    <row r="18" customFormat="false" ht="15" hidden="false" customHeight="true" outlineLevel="0" collapsed="false">
      <c r="A18" s="3" t="s">
        <v>173</v>
      </c>
      <c r="B18" s="3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2026-09-21T22:35:18Z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