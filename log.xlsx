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<sst xmlns="http://schemas.openxmlformats.org/spreadsheetml/2006/main" count="115" uniqueCount="92">
  <si>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</si>
  <si>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</si>
  <si>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</si>
  <si>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</si>
  <si>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</si>
  <si>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</si>
  <si>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</si>
  <si>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</si>
  <si>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</si>
  <si>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</si>
  <si>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</si>
  <si>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</si>
  <si>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</si>
  <si>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</si>
  <si>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</si>
  <si>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</si>
  <si>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</si>
  <si>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</si>
  <si>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</si>
  <si>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</si>
  <si>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</si>
  <si>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</si>
  <si>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</si>
  <si>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</si>
  <si>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</si>
  <si>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</si>
  <si>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</si>
  <si>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</si>
  <si>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</si>
  <si>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</si>
  <si>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</si>
  <si>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</si>
  <si>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</si>
  <si>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</si>
  <si>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</si>
  <si>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</si>
  <si>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</si>
  <si>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</si>
  <si>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</si>
  <si>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</si>
  <si>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</si>
  <si>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</si>
  <si>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</si>
  <si>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</si>
  <si>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</si>
  <si>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</si>
  <si>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</si>
  <si>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</si>
  <si>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</si>
  <si>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</si>
  <si>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</si>
  <si>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</si>
  <si>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</si>
  <si>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</si>
  <si>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</si>
  <si>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</si>
  <si>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</si>
  <si>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</si>
  <si>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</si>
  <si>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</si>
  <si>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</si>
  <si>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</si>
  <si>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</si>
  <si>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</si>
  <si>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</si>
  <si>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</si>
  <si>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</si>
  <si>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</si>
  <si>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</si>
  <si>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</si>
  <si>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</si>
  <si>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</si>
  <si>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</si>
  <si>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</si>
  <si>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</si>
  <si>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</si>
  <si>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</si>
  <si>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</si>
  <si>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</si>
  <si>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</si>
  <si>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</si>
  <si>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</si>
  <si>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</si>
  <si>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r>
      <rPr>
        <sz val="11"/>
        <color rgb="FF000000"/>
        <rFont val="Noto Sans CJK SC"/>
        <family val="2"/>
      </rPr>
      <t xml:space="preserve">近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个交易日累计涨幅</t>
    </r>
    <r>
      <rPr>
        <sz val="11"/>
        <color rgb="FF000000"/>
        <rFont val="Calibri"/>
        <family val="2"/>
        <charset val="1"/>
      </rPr>
      <t xml:space="preserve">&gt;8%</t>
    </r>
    <r>
      <rPr>
        <sz val="11"/>
        <color rgb="FF000000"/>
        <rFont val="Noto Sans CJK SC"/>
        <family val="2"/>
      </rPr>
      <t xml:space="preserve">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超买区域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。超买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动能衰减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重大事件前夜三重叠加→方向从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涨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下调至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跌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先验提升；超买但无事件→档位额外下调一档。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增设，复盘</t>
    </r>
    <r>
      <rPr>
        <sz val="11"/>
        <color rgb="FF000000"/>
        <rFont val="Calibri"/>
        <family val="2"/>
        <charset val="1"/>
      </rPr>
      <t xml:space="preserve">8/26</t>
    </r>
    <r>
      <rPr>
        <sz val="11"/>
        <color rgb="FF000000"/>
        <rFont val="Noto Sans CJK SC"/>
        <family val="2"/>
      </rPr>
      <t xml:space="preserve">方向预测错误（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日涨</t>
    </r>
    <r>
      <rPr>
        <sz val="11"/>
        <color rgb="FF000000"/>
        <rFont val="Calibri"/>
        <family val="2"/>
        <charset val="1"/>
      </rPr>
      <t xml:space="preserve">14.75%</t>
    </r>
    <r>
      <rPr>
        <sz val="11"/>
        <color rgb="FF000000"/>
        <rFont val="Noto Sans CJK SC"/>
        <family val="2"/>
      </rPr>
      <t xml:space="preserve">超买</t>
    </r>
    <r>
      <rPr>
        <sz val="11"/>
        <color rgb="FF000000"/>
        <rFont val="Calibri"/>
        <family val="2"/>
        <charset val="1"/>
      </rPr>
      <t xml:space="preserve">+PCE</t>
    </r>
    <r>
      <rPr>
        <sz val="11"/>
        <color rgb="FF000000"/>
        <rFont val="Noto Sans CJK SC"/>
        <family val="2"/>
      </rPr>
      <t xml:space="preserve">前夜，方向本应押跌）</t>
    </r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</si>
  <si>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</si>
  <si>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</si>
  <si>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</si>
  <si>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r>
      <rPr>
        <sz val="11"/>
        <color rgb="FF000000"/>
        <rFont val="Noto Sans CJK SC"/>
        <family val="2"/>
      </rPr>
      <t xml:space="preserve">市况标签拆为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长期趋势</t>
    </r>
    <r>
      <rPr>
        <sz val="11"/>
        <color rgb="FF000000"/>
        <rFont val="Calibri"/>
        <family val="2"/>
        <charset val="1"/>
      </rPr>
      <t xml:space="preserve">(60</t>
    </r>
    <r>
      <rPr>
        <sz val="11"/>
        <color rgb="FF000000"/>
        <rFont val="Noto Sans CJK SC"/>
        <family val="2"/>
      </rPr>
      <t xml:space="preserve">日方向</t>
    </r>
    <r>
      <rPr>
        <sz val="11"/>
        <color rgb="FF000000"/>
        <rFont val="Calibri"/>
        <family val="2"/>
        <charset val="1"/>
      </rPr>
      <t xml:space="preserve">)+</t>
    </r>
    <r>
      <rPr>
        <sz val="11"/>
        <color rgb="FF000000"/>
        <rFont val="Noto Sans CJK SC"/>
        <family val="2"/>
      </rPr>
      <t xml:space="preserve">短期状态</t>
    </r>
    <r>
      <rPr>
        <sz val="11"/>
        <color rgb="FF000000"/>
        <rFont val="Calibri"/>
        <family val="2"/>
        <charset val="1"/>
      </rPr>
      <t xml:space="preserve">(10</t>
    </r>
    <r>
      <rPr>
        <sz val="11"/>
        <color rgb="FF000000"/>
        <rFont val="Noto Sans CJK SC"/>
        <family val="2"/>
      </rPr>
      <t xml:space="preserve">日动能</t>
    </r>
    <r>
      <rPr>
        <sz val="11"/>
        <color rgb="FF000000"/>
        <rFont val="Calibri"/>
        <family val="2"/>
        <charset val="1"/>
      </rPr>
      <t xml:space="preserve">)"</t>
    </r>
    <r>
      <rPr>
        <sz val="11"/>
        <color rgb="FF000000"/>
        <rFont val="Noto Sans CJK SC"/>
        <family val="2"/>
      </rPr>
      <t xml:space="preserve">，两者背离时报告提示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长期看多但短期调整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</si>
  <si>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信号定价度</t>
  </si>
  <si>
    <r>
      <rPr>
        <sz val="11"/>
        <color rgb="FF000000"/>
        <rFont val="Noto Sans CJK SC"/>
        <family val="2"/>
      </rPr>
      <t xml:space="preserve">报告信号分解每条标注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]/[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]/[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</t>
    </r>
    <r>
      <rPr>
        <sz val="11"/>
        <color rgb="FF000000"/>
        <rFont val="Noto Sans CJK SC"/>
        <family val="2"/>
      </rPr>
      <t xml:space="preserve">，区分已被市场消化的利好与尚未释放的利空。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</si>
  <si>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场景树</t>
  </si>
  <si>
    <r>
      <rPr>
        <sz val="11"/>
        <color rgb="FF000000"/>
        <rFont val="Noto Sans CJK SC"/>
        <family val="2"/>
      </rPr>
      <t xml:space="preserve">报告人工审核区含</t>
    </r>
    <r>
      <rPr>
        <sz val="11"/>
        <color rgb="FF000000"/>
        <rFont val="Calibri"/>
        <family val="2"/>
        <charset val="1"/>
      </rPr>
      <t xml:space="preserve">2-3</t>
    </r>
    <r>
      <rPr>
        <sz val="11"/>
        <color rgb="FF000000"/>
        <rFont val="Noto Sans CJK SC"/>
        <family val="2"/>
      </rPr>
      <t xml:space="preserve">条条件路径（触发条件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结果档位），供人工审核快速定位。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</si>
</sst>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3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/>
      <c r="J6" s="7" t="str">
        <f aca="false">IF(OR(I6="",C6=""),"",(I6-C6)/C6)</f>
        <v/>
      </c>
      <c r="K6" s="4" t="str">
        <f aca="false">IF(J6="","",IF(J6&gt;0,"涨",IF(J6&lt;0,"跌","平")))</f>
        <v/>
      </c>
      <c r="L6" s="4" t="str">
        <f aca="false">IF(J6="","",IF(ABS(J6)&lt;=0.003,"小",IF(ABS(J6)&lt;=0.01,"中","大")))</f>
        <v/>
      </c>
      <c r="M6" s="4" t="str">
        <f aca="false">IF(OR(D6="",K6=""),"",IF(D6=K6,"√","×"))</f>
        <v/>
      </c>
      <c r="N6" s="4" t="str">
        <f aca="false">IF(OR(E6="",L6=""),"",IF(E6=L6,"√","×"))</f>
        <v/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/>
      <c r="B7" s="8"/>
      <c r="C7" s="9"/>
      <c r="D7" s="8"/>
      <c r="E7" s="8"/>
      <c r="F7" s="8"/>
      <c r="G7" s="8"/>
      <c r="H7" s="8"/>
      <c r="I7" s="9"/>
      <c r="J7" s="11" t="str">
        <f aca="false">IF(OR(I7="",C7=""),"",(I7-C7)/C7)</f>
        <v/>
      </c>
      <c r="K7" s="8" t="str">
        <f aca="false">IF(J7="","",IF(J7&gt;0,"涨",IF(J7&lt;0,"跌","平")))</f>
        <v/>
      </c>
      <c r="L7" s="8" t="str">
        <f aca="false">IF(J7="","",IF(ABS(J7)&lt;=0.003,"小",IF(ABS(J7)&lt;=0.01,"中","大")))</f>
        <v/>
      </c>
      <c r="M7" s="8" t="str">
        <f aca="false">IF(OR(D7="",K7=""),"",IF(D7=K7,"√","×"))</f>
        <v/>
      </c>
      <c r="N7" s="8" t="str">
        <f aca="false">IF(OR(E7="",L7=""),"",IF(E7=L7,"√","×"))</f>
        <v/>
      </c>
      <c r="O7" s="8"/>
      <c r="P7" s="8"/>
      <c r="Q7" s="8"/>
    </row>
    <row r="8" customFormat="false" ht="15" hidden="false" customHeight="true" outlineLevel="0" collapsed="false">
      <c r="A8" s="4"/>
      <c r="B8" s="4"/>
      <c r="C8" s="5"/>
      <c r="D8" s="4"/>
      <c r="E8" s="4"/>
      <c r="F8" s="4"/>
      <c r="G8" s="4"/>
      <c r="H8" s="4"/>
      <c r="I8" s="5"/>
      <c r="J8" s="7" t="str">
        <f aca="false">IF(OR(I8="",C8=""),"",(I8-C8)/C8)</f>
        <v/>
      </c>
      <c r="K8" s="4" t="str">
        <f aca="false">IF(J8="","",IF(J8&gt;0,"涨",IF(J8&lt;0,"跌","平")))</f>
        <v/>
      </c>
      <c r="L8" s="4" t="str">
        <f aca="false">IF(J8="","",IF(ABS(J8)&lt;=0.003,"小",IF(ABS(J8)&lt;=0.01,"中","大")))</f>
        <v/>
      </c>
      <c r="M8" s="4" t="str">
        <f aca="false">IF(OR(D8="",K8=""),"",IF(D8=K8,"√","×"))</f>
        <v/>
      </c>
      <c r="N8" s="4" t="str">
        <f aca="false">IF(OR(E8="",L8=""),"",IF(E8=L8,"√","×"))</f>
        <v/>
      </c>
      <c r="O8" s="4"/>
      <c r="P8" s="4"/>
      <c r="Q8" s="4"/>
    </row>
    <row r="9" customFormat="false" ht="15" hidden="false" customHeight="true" outlineLevel="0" collapsed="false">
      <c r="A9" s="8"/>
      <c r="B9" s="8"/>
      <c r="C9" s="9"/>
      <c r="D9" s="8"/>
      <c r="E9" s="8"/>
      <c r="F9" s="8"/>
      <c r="G9" s="8"/>
      <c r="H9" s="8"/>
      <c r="I9" s="9"/>
      <c r="J9" s="11" t="str">
        <f aca="false">IF(OR(I9="",C9=""),"",(I9-C9)/C9)</f>
        <v/>
      </c>
      <c r="K9" s="8" t="str">
        <f aca="false">IF(J9="","",IF(J9&gt;0,"涨",IF(J9&lt;0,"跌","平")))</f>
        <v/>
      </c>
      <c r="L9" s="8" t="str">
        <f aca="false">IF(J9="","",IF(ABS(J9)&lt;=0.003,"小",IF(ABS(J9)&lt;=0.01,"中","大")))</f>
        <v/>
      </c>
      <c r="M9" s="8" t="str">
        <f aca="false">IF(OR(D9="",K9=""),"",IF(D9=K9,"√","×"))</f>
        <v/>
      </c>
      <c r="N9" s="8" t="str">
        <f aca="false">IF(OR(E9="",L9=""),"",IF(E9=L9,"√","×"))</f>
        <v/>
      </c>
      <c r="O9" s="8"/>
      <c r="P9" s="8"/>
      <c r="Q9" s="8"/>
    </row>
    <row r="10" customFormat="false" ht="15" hidden="false" customHeight="true" outlineLevel="0" collapsed="false">
      <c r="A10" s="4"/>
      <c r="B10" s="4"/>
      <c r="C10" s="5"/>
      <c r="D10" s="4"/>
      <c r="E10" s="4"/>
      <c r="F10" s="4"/>
      <c r="G10" s="4"/>
      <c r="H10" s="4"/>
      <c r="I10" s="5"/>
      <c r="J10" s="7" t="str">
        <f aca="false">IF(OR(I10="",C10=""),"",(I10-C10)/C10)</f>
        <v/>
      </c>
      <c r="K10" s="4" t="str">
        <f aca="false">IF(J10="","",IF(J10&gt;0,"涨",IF(J10&lt;0,"跌","平")))</f>
        <v/>
      </c>
      <c r="L10" s="4" t="str">
        <f aca="false">IF(J10="","",IF(ABS(J10)&lt;=0.003,"小",IF(ABS(J10)&lt;=0.01,"中","大")))</f>
        <v/>
      </c>
      <c r="M10" s="4" t="str">
        <f aca="false">IF(OR(D10="",K10=""),"",IF(D10=K10,"√","×"))</f>
        <v/>
      </c>
      <c r="N10" s="4" t="str">
        <f aca="false">IF(OR(E10="",L10=""),"",IF(E10=L10,"√","×"))</f>
        <v/>
      </c>
      <c r="O10" s="4"/>
      <c r="P10" s="4"/>
      <c r="Q10" s="4"/>
    </row>
    <row r="11" customFormat="false" ht="15" hidden="false" customHeight="true" outlineLevel="0" collapsed="false">
      <c r="A11" s="8"/>
      <c r="B11" s="8"/>
      <c r="C11" s="9"/>
      <c r="D11" s="8"/>
      <c r="E11" s="8"/>
      <c r="F11" s="8"/>
      <c r="G11" s="8"/>
      <c r="H11" s="8"/>
      <c r="I11" s="9"/>
      <c r="J11" s="11" t="str">
        <f aca="false">IF(OR(I11="",C11=""),"",(I11-C11)/C11)</f>
        <v/>
      </c>
      <c r="K11" s="8" t="str">
        <f aca="false">IF(J11="","",IF(J11&gt;0,"涨",IF(J11&lt;0,"跌","平")))</f>
        <v/>
      </c>
      <c r="L11" s="8" t="str">
        <f aca="false">IF(J11="","",IF(ABS(J11)&lt;=0.003,"小",IF(ABS(J11)&lt;=0.01,"中","大")))</f>
        <v/>
      </c>
      <c r="M11" s="8" t="str">
        <f aca="false">IF(OR(D11="",K11=""),"",IF(D11=K11,"√","×"))</f>
        <v/>
      </c>
      <c r="N11" s="8" t="str">
        <f aca="false">IF(OR(E11="",L11=""),"",IF(E11=L11,"√","×"))</f>
        <v/>
      </c>
      <c r="O11" s="8"/>
      <c r="P11" s="8"/>
      <c r="Q11" s="8"/>
    </row>
    <row r="12" customFormat="false" ht="15" hidden="false" customHeight="true" outlineLevel="0" collapsed="false">
      <c r="A12" s="4"/>
      <c r="B12" s="4"/>
      <c r="C12" s="5"/>
      <c r="D12" s="4"/>
      <c r="E12" s="4"/>
      <c r="F12" s="4"/>
      <c r="G12" s="4"/>
      <c r="H12" s="4"/>
      <c r="I12" s="5"/>
      <c r="J12" s="7" t="str">
        <f aca="false">IF(OR(I12="",C12=""),"",(I12-C12)/C12)</f>
        <v/>
      </c>
      <c r="K12" s="4" t="str">
        <f aca="false">IF(J12="","",IF(J12&gt;0,"涨",IF(J12&lt;0,"跌","平")))</f>
        <v/>
      </c>
      <c r="L12" s="4" t="str">
        <f aca="false">IF(J12="","",IF(ABS(J12)&lt;=0.003,"小",IF(ABS(J12)&lt;=0.01,"中","大")))</f>
        <v/>
      </c>
      <c r="M12" s="4" t="str">
        <f aca="false">IF(OR(D12="",K12=""),"",IF(D12=K12,"√","×"))</f>
        <v/>
      </c>
      <c r="N12" s="4" t="str">
        <f aca="false">IF(OR(E12="",L12=""),"",IF(E12=L12,"√","×"))</f>
        <v/>
      </c>
      <c r="O12" s="4"/>
      <c r="P12" s="4"/>
      <c r="Q12" s="4"/>
    </row>
    <row r="13" customFormat="false" ht="15" hidden="false" customHeight="true" outlineLevel="0" collapsed="false">
      <c r="A13" s="8"/>
      <c r="B13" s="8"/>
      <c r="C13" s="9"/>
      <c r="D13" s="8"/>
      <c r="E13" s="8"/>
      <c r="F13" s="8"/>
      <c r="G13" s="8"/>
      <c r="H13" s="8"/>
      <c r="I13" s="9"/>
      <c r="J13" s="11" t="str">
        <f aca="false">IF(OR(I13="",C13=""),"",(I13-C13)/C13)</f>
        <v/>
      </c>
      <c r="K13" s="8" t="str">
        <f aca="false">IF(J13="","",IF(J13&gt;0,"涨",IF(J13&lt;0,"跌","平")))</f>
        <v/>
      </c>
      <c r="L13" s="8" t="str">
        <f aca="false">IF(J13="","",IF(ABS(J13)&lt;=0.003,"小",IF(ABS(J13)&lt;=0.01,"中","大")))</f>
        <v/>
      </c>
      <c r="M13" s="8" t="str">
        <f aca="false">IF(OR(D13="",K13=""),"",IF(D13=K13,"√","×"))</f>
        <v/>
      </c>
      <c r="N13" s="8" t="str">
        <f aca="false">IF(OR(E13="",L13=""),"",IF(E13=L13,"√","×"))</f>
        <v/>
      </c>
      <c r="O13" s="8"/>
      <c r="P13" s="8"/>
      <c r="Q13" s="8"/>
    </row>
    <row r="14" customFormat="false" ht="15" hidden="false" customHeight="true" outlineLevel="0" collapsed="false">
      <c r="A14" s="4"/>
      <c r="B14" s="4"/>
      <c r="C14" s="5"/>
      <c r="D14" s="4"/>
      <c r="E14" s="4"/>
      <c r="F14" s="4"/>
      <c r="G14" s="4"/>
      <c r="H14" s="4"/>
      <c r="I14" s="5"/>
      <c r="J14" s="7" t="str">
        <f aca="false">IF(OR(I14="",C14=""),"",(I14-C14)/C14)</f>
        <v/>
      </c>
      <c r="K14" s="4" t="str">
        <f aca="false">IF(J14="","",IF(J14&gt;0,"涨",IF(J14&lt;0,"跌","平")))</f>
        <v/>
      </c>
      <c r="L14" s="4" t="str">
        <f aca="false">IF(J14="","",IF(ABS(J14)&lt;=0.003,"小",IF(ABS(J14)&lt;=0.01,"中","大")))</f>
        <v/>
      </c>
      <c r="M14" s="4" t="str">
        <f aca="false">IF(OR(D14="",K14=""),"",IF(D14=K14,"√","×"))</f>
        <v/>
      </c>
      <c r="N14" s="4" t="str">
        <f aca="false">IF(OR(E14="",L14=""),"",IF(E14=L14,"√","×"))</f>
        <v/>
      </c>
      <c r="O14" s="4"/>
      <c r="P14" s="4"/>
      <c r="Q14" s="4"/>
    </row>
    <row r="15" customFormat="false" ht="15" hidden="false" customHeight="true" outlineLevel="0" collapsed="false">
      <c r="A15" s="8"/>
      <c r="B15" s="8"/>
      <c r="C15" s="9"/>
      <c r="D15" s="8"/>
      <c r="E15" s="8"/>
      <c r="F15" s="8"/>
      <c r="G15" s="8"/>
      <c r="H15" s="8"/>
      <c r="I15" s="9"/>
      <c r="J15" s="11" t="str">
        <f aca="false">IF(OR(I15="",C15=""),"",(I15-C15)/C15)</f>
        <v/>
      </c>
      <c r="K15" s="8" t="str">
        <f aca="false">IF(J15="","",IF(J15&gt;0,"涨",IF(J15&lt;0,"跌","平")))</f>
        <v/>
      </c>
      <c r="L15" s="8" t="str">
        <f aca="false">IF(J15="","",IF(ABS(J15)&lt;=0.003,"小",IF(ABS(J15)&lt;=0.01,"中","大")))</f>
        <v/>
      </c>
      <c r="M15" s="8" t="str">
        <f aca="false">IF(OR(D15="",K15=""),"",IF(D15=K15,"√","×"))</f>
        <v/>
      </c>
      <c r="N15" s="8" t="str">
        <f aca="false">IF(OR(E15="",L15=""),"",IF(E15=L15,"√","×"))</f>
        <v/>
      </c>
      <c r="O15" s="8"/>
      <c r="P15" s="8"/>
      <c r="Q15" s="8"/>
    </row>
    <row r="16" customFormat="false" ht="15" hidden="false" customHeight="true" outlineLevel="0" collapsed="false">
      <c r="A16" s="4"/>
      <c r="B16" s="4"/>
      <c r="C16" s="5"/>
      <c r="D16" s="4"/>
      <c r="E16" s="4"/>
      <c r="F16" s="4"/>
      <c r="G16" s="4"/>
      <c r="H16" s="4"/>
      <c r="I16" s="5"/>
      <c r="J16" s="7" t="str">
        <f aca="false">IF(OR(I16="",C16=""),"",(I16-C16)/C16)</f>
        <v/>
      </c>
      <c r="K16" s="4" t="str">
        <f aca="false">IF(J16="","",IF(J16&gt;0,"涨",IF(J16&lt;0,"跌","平")))</f>
        <v/>
      </c>
      <c r="L16" s="4" t="str">
        <f aca="false">IF(J16="","",IF(ABS(J16)&lt;=0.003,"小",IF(ABS(J16)&lt;=0.01,"中","大")))</f>
        <v/>
      </c>
      <c r="M16" s="4" t="str">
        <f aca="false">IF(OR(D16="",K16=""),"",IF(D16=K16,"√","×"))</f>
        <v/>
      </c>
      <c r="N16" s="4" t="str">
        <f aca="false">IF(OR(E16="",L16=""),"",IF(E16=L16,"√","×"))</f>
        <v/>
      </c>
      <c r="O16" s="4"/>
      <c r="P16" s="4"/>
      <c r="Q16" s="4"/>
    </row>
    <row r="17" customFormat="false" ht="15" hidden="false" customHeight="true" outlineLevel="0" collapsed="false">
      <c r="A17" s="8"/>
      <c r="B17" s="8"/>
      <c r="C17" s="9"/>
      <c r="D17" s="8"/>
      <c r="E17" s="8"/>
      <c r="F17" s="8"/>
      <c r="G17" s="8"/>
      <c r="H17" s="8"/>
      <c r="I17" s="9"/>
      <c r="J17" s="11" t="str">
        <f aca="false">IF(OR(I17="",C17=""),"",(I17-C17)/C17)</f>
        <v/>
      </c>
      <c r="K17" s="8" t="str">
        <f aca="false">IF(J17="","",IF(J17&gt;0,"涨",IF(J17&lt;0,"跌","平")))</f>
        <v/>
      </c>
      <c r="L17" s="8" t="str">
        <f aca="false">IF(J17="","",IF(ABS(J17)&lt;=0.003,"小",IF(ABS(J17)&lt;=0.01,"中","大")))</f>
        <v/>
      </c>
      <c r="M17" s="8" t="str">
        <f aca="false">IF(OR(D17="",K17=""),"",IF(D17=K17,"√","×"))</f>
        <v/>
      </c>
      <c r="N17" s="8" t="str">
        <f aca="false">IF(OR(E17="",L17=""),"",IF(E17=L17,"√","×"))</f>
        <v/>
      </c>
      <c r="O17" s="8"/>
      <c r="P17" s="8"/>
      <c r="Q17" s="8"/>
    </row>
    <row r="18" customFormat="false" ht="15" hidden="false" customHeight="true" outlineLevel="0" collapsed="false">
      <c r="A18" s="4"/>
      <c r="B18" s="4"/>
      <c r="C18" s="5"/>
      <c r="D18" s="4"/>
      <c r="E18" s="4"/>
      <c r="F18" s="4"/>
      <c r="G18" s="4"/>
      <c r="H18" s="4"/>
      <c r="I18" s="5"/>
      <c r="J18" s="7" t="str">
        <f aca="false">IF(OR(I18="",C18=""),"",(I18-C18)/C18)</f>
        <v/>
      </c>
      <c r="K18" s="4" t="str">
        <f aca="false">IF(J18="","",IF(J18&gt;0,"涨",IF(J18&lt;0,"跌","平")))</f>
        <v/>
      </c>
      <c r="L18" s="4" t="str">
        <f aca="false">IF(J18="","",IF(ABS(J18)&lt;=0.003,"小",IF(ABS(J18)&lt;=0.01,"中","大")))</f>
        <v/>
      </c>
      <c r="M18" s="4" t="str">
        <f aca="false">IF(OR(D18="",K18=""),"",IF(D18=K18,"√","×"))</f>
        <v/>
      </c>
      <c r="N18" s="4" t="str">
        <f aca="false">IF(OR(E18="",L18=""),"",IF(E18=L18,"√","×"))</f>
        <v/>
      </c>
      <c r="O18" s="4"/>
      <c r="P18" s="4"/>
      <c r="Q18" s="4"/>
    </row>
    <row r="19" customFormat="false" ht="15" hidden="false" customHeight="true" outlineLevel="0" collapsed="false">
      <c r="A19" s="8"/>
      <c r="B19" s="8"/>
      <c r="C19" s="9"/>
      <c r="D19" s="8"/>
      <c r="E19" s="8"/>
      <c r="F19" s="8"/>
      <c r="G19" s="8"/>
      <c r="H19" s="8"/>
      <c r="I19" s="9"/>
      <c r="J19" s="11" t="str">
        <f aca="false">IF(OR(I19="",C19=""),"",(I19-C19)/C19)</f>
        <v/>
      </c>
      <c r="K19" s="8" t="str">
        <f aca="false">IF(J19="","",IF(J19&gt;0,"涨",IF(J19&lt;0,"跌","平")))</f>
        <v/>
      </c>
      <c r="L19" s="8" t="str">
        <f aca="false">IF(J19="","",IF(ABS(J19)&lt;=0.003,"小",IF(ABS(J19)&lt;=0.01,"中","大")))</f>
        <v/>
      </c>
      <c r="M19" s="8" t="str">
        <f aca="false">IF(OR(D19="",K19=""),"",IF(D19=K19,"√","×"))</f>
        <v/>
      </c>
      <c r="N19" s="8" t="str">
        <f aca="false">IF(OR(E19="",L19=""),"",IF(E19=L19,"√","×"))</f>
        <v/>
      </c>
      <c r="O19" s="8"/>
      <c r="P19" s="8"/>
      <c r="Q19" s="8"/>
    </row>
    <row r="20" customFormat="false" ht="15" hidden="false" customHeight="true" outlineLevel="0" collapsed="false">
      <c r="A20" s="4"/>
      <c r="B20" s="4"/>
      <c r="C20" s="5"/>
      <c r="D20" s="4"/>
      <c r="E20" s="4"/>
      <c r="F20" s="4"/>
      <c r="G20" s="4"/>
      <c r="H20" s="4"/>
      <c r="I20" s="5"/>
      <c r="J20" s="7" t="str">
        <f aca="false">IF(OR(I20="",C20=""),"",(I20-C20)/C20)</f>
        <v/>
      </c>
      <c r="K20" s="4" t="str">
        <f aca="false">IF(J20="","",IF(J20&gt;0,"涨",IF(J20&lt;0,"跌","平")))</f>
        <v/>
      </c>
      <c r="L20" s="4" t="str">
        <f aca="false">IF(J20="","",IF(ABS(J20)&lt;=0.003,"小",IF(ABS(J20)&lt;=0.01,"中","大")))</f>
        <v/>
      </c>
      <c r="M20" s="4" t="str">
        <f aca="false">IF(OR(D20="",K20=""),"",IF(D20=K20,"√","×"))</f>
        <v/>
      </c>
      <c r="N20" s="4" t="str">
        <f aca="false">IF(OR(E20="",L20=""),"",IF(E20=L20,"√","×"))</f>
        <v/>
      </c>
      <c r="O20" s="4"/>
      <c r="P20" s="4"/>
      <c r="Q20" s="4"/>
    </row>
    <row r="21" customFormat="false" ht="15" hidden="false" customHeight="true" outlineLevel="0" collapsed="false">
      <c r="A21" s="8"/>
      <c r="B21" s="8"/>
      <c r="C21" s="9"/>
      <c r="D21" s="8"/>
      <c r="E21" s="8"/>
      <c r="F21" s="8"/>
      <c r="G21" s="8"/>
      <c r="H21" s="8"/>
      <c r="I21" s="9"/>
      <c r="J21" s="11" t="str">
        <f aca="false">IF(OR(I21="",C21=""),"",(I21-C21)/C21)</f>
        <v/>
      </c>
      <c r="K21" s="8" t="str">
        <f aca="false">IF(J21="","",IF(J21&gt;0,"涨",IF(J21&lt;0,"跌","平")))</f>
        <v/>
      </c>
      <c r="L21" s="8" t="str">
        <f aca="false">IF(J21="","",IF(ABS(J21)&lt;=0.003,"小",IF(ABS(J21)&lt;=0.01,"中","大")))</f>
        <v/>
      </c>
      <c r="M21" s="8" t="str">
        <f aca="false">IF(OR(D21="",K21=""),"",IF(D21=K21,"√","×"))</f>
        <v/>
      </c>
      <c r="N21" s="8" t="str">
        <f aca="false">IF(OR(E21="",L21=""),"",IF(E21=L21,"√","×"))</f>
        <v/>
      </c>
      <c r="O21" s="8"/>
      <c r="P21" s="8"/>
      <c r="Q21" s="8"/>
    </row>
    <row r="22" customFormat="false" ht="15" hidden="false" customHeight="true" outlineLevel="0" collapsed="false">
      <c r="A22" s="4"/>
      <c r="B22" s="4"/>
      <c r="C22" s="5"/>
      <c r="D22" s="4"/>
      <c r="E22" s="4"/>
      <c r="F22" s="4"/>
      <c r="G22" s="4"/>
      <c r="H22" s="4"/>
      <c r="I22" s="5"/>
      <c r="J22" s="7" t="str">
        <f aca="false">IF(OR(I22="",C22=""),"",(I22-C22)/C22)</f>
        <v/>
      </c>
      <c r="K22" s="4" t="str">
        <f aca="false">IF(J22="","",IF(J22&gt;0,"涨",IF(J22&lt;0,"跌","平")))</f>
        <v/>
      </c>
      <c r="L22" s="4" t="str">
        <f aca="false">IF(J22="","",IF(ABS(J22)&lt;=0.003,"小",IF(ABS(J22)&lt;=0.01,"中","大")))</f>
        <v/>
      </c>
      <c r="M22" s="4" t="str">
        <f aca="false">IF(OR(D22="",K22=""),"",IF(D22=K22,"√","×"))</f>
        <v/>
      </c>
      <c r="N22" s="4" t="str">
        <f aca="false">IF(OR(E22="",L22=""),"",IF(E22=L22,"√","×"))</f>
        <v/>
      </c>
      <c r="O22" s="4"/>
      <c r="P22" s="4"/>
      <c r="Q22" s="4"/>
    </row>
    <row r="23" customFormat="false" ht="15" hidden="false" customHeight="true" outlineLevel="0" collapsed="false">
      <c r="A23" s="8"/>
      <c r="B23" s="8"/>
      <c r="C23" s="9"/>
      <c r="D23" s="8"/>
      <c r="E23" s="8"/>
      <c r="F23" s="8"/>
      <c r="G23" s="8"/>
      <c r="H23" s="8"/>
      <c r="I23" s="9"/>
      <c r="J23" s="11" t="str">
        <f aca="false">IF(OR(I23="",C23=""),"",(I23-C23)/C23)</f>
        <v/>
      </c>
      <c r="K23" s="8" t="str">
        <f aca="false">IF(J23="","",IF(J23&gt;0,"涨",IF(J23&lt;0,"跌","平")))</f>
        <v/>
      </c>
      <c r="L23" s="8" t="str">
        <f aca="false">IF(J23="","",IF(ABS(J23)&lt;=0.003,"小",IF(ABS(J23)&lt;=0.01,"中","大")))</f>
        <v/>
      </c>
      <c r="M23" s="8" t="str">
        <f aca="false">IF(OR(D23="",K23=""),"",IF(D23=K23,"√","×"))</f>
        <v/>
      </c>
      <c r="N23" s="8" t="str">
        <f aca="false">IF(OR(E23="",L23=""),"",IF(E23=L23,"√","×"))</f>
        <v/>
      </c>
      <c r="O23" s="8"/>
      <c r="P23" s="8"/>
      <c r="Q23" s="8"/>
    </row>
    <row r="24" customFormat="false" ht="15" hidden="false" customHeight="true" outlineLevel="0" collapsed="false">
      <c r="A24" s="4"/>
      <c r="B24" s="4"/>
      <c r="C24" s="5"/>
      <c r="D24" s="4"/>
      <c r="E24" s="4"/>
      <c r="F24" s="4"/>
      <c r="G24" s="4"/>
      <c r="H24" s="4"/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4"/>
      <c r="P24" s="4"/>
      <c r="Q24" s="4"/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2" t="s">
        <v>48</v>
      </c>
    </row>
    <row r="3" customFormat="false" ht="15" hidden="false" customHeight="true" outlineLevel="0" collapsed="false">
      <c r="A3" s="13" t="s">
        <v>49</v>
      </c>
      <c r="B3" s="14" t="n">
        <f aca="false">COUNTIF(预测日志!M2:M1000,"√")+COUNTIF(预测日志!M2:M1000,"×")</f>
        <v>4</v>
      </c>
    </row>
    <row r="4" customFormat="false" ht="15" hidden="false" customHeight="true" outlineLevel="0" collapsed="false">
      <c r="A4" s="13" t="s">
        <v>50</v>
      </c>
      <c r="B4" s="14" t="n">
        <f aca="false">COUNTA(预测日志!A2:A1000)</f>
        <v>5</v>
      </c>
    </row>
    <row r="5" customFormat="false" ht="15" hidden="false" customHeight="true" outlineLevel="0" collapsed="false">
      <c r="A5" s="15" t="s">
        <v>51</v>
      </c>
      <c r="B5" s="16" t="n">
        <f aca="false">IFERROR(COUNTIF(预测日志!M2:M1000,"√")/B3,"-")</f>
        <v>0.75</v>
      </c>
    </row>
    <row r="6" customFormat="false" ht="15" hidden="false" customHeight="true" outlineLevel="0" collapsed="false">
      <c r="A6" s="13" t="s">
        <v>52</v>
      </c>
      <c r="B6" s="17" t="n">
        <f aca="false">IFERROR(COUNTIF(预测日志!N2:N1000,"√")/(COUNTIF(预测日志!N2:N1000,"√")+COUNTIF(预测日志!N2:N1000,"×")),"-")</f>
        <v>0.25</v>
      </c>
    </row>
    <row r="7" customFormat="false" ht="15" hidden="false" customHeight="true" outlineLevel="0" collapsed="false">
      <c r="A7" s="15" t="s">
        <v>53</v>
      </c>
      <c r="B7" s="16" t="n">
        <f aca="true">IFERROR(COUNTIF(OFFSET(预测日志!$M$1,B3-MIN(30,B3)+1,0,MIN(30,B3),1),"√")/MIN(30,B3),"-")</f>
        <v>0.75</v>
      </c>
    </row>
    <row r="8" customFormat="false" ht="15" hidden="false" customHeight="true" outlineLevel="0" collapsed="false">
      <c r="A8" s="13" t="s">
        <v>54</v>
      </c>
      <c r="B8" s="17" t="n">
        <f aca="true">IFERROR(COUNTIF(OFFSET(预测日志!$N$1,B3-MIN(30,B3)+1,0,MIN(30,B3),1),"√")/MIN(30,B3),"-")</f>
        <v>0.25</v>
      </c>
    </row>
    <row r="9" customFormat="false" ht="15" hidden="false" customHeight="true" outlineLevel="0" collapsed="false">
      <c r="A9" s="13" t="s">
        <v>55</v>
      </c>
      <c r="B9" s="14" t="n">
        <f aca="false">IFERROR(COUNTIFS(预测日志!O2:O1000,"趋势*",预测日志!M2:M1000,"√")/(COUNTIFS(预测日志!O2:O1000,"趋势*",预测日志!M2:M1000,"√")+COUNTIFS(预测日志!O2:O1000,"趋势*",预测日志!M2:M1000,"×")),"-")</f>
        <v>0.75</v>
      </c>
    </row>
    <row r="10" customFormat="false" ht="15" hidden="false" customHeight="true" outlineLevel="0" collapsed="false">
      <c r="A10" s="13" t="s">
        <v>56</v>
      </c>
      <c r="B10" s="14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18" t="s">
        <v>57</v>
      </c>
    </row>
    <row r="13" customFormat="false" ht="15" hidden="false" customHeight="true" outlineLevel="0" collapsed="false">
      <c r="A13" s="3" t="s">
        <v>58</v>
      </c>
      <c r="B13" s="1" t="n">
        <f aca="false">COUNT(预测日志!R2:R1000)</f>
        <v>5</v>
      </c>
    </row>
    <row r="14" customFormat="false" ht="15" hidden="false" customHeight="true" outlineLevel="0" collapsed="false">
      <c r="A14" s="3" t="s">
        <v>59</v>
      </c>
      <c r="B14" s="1" t="n">
        <f aca="false">COUNTIFS(预测日志!R2:R1000,"&gt;0",预测日志!M2:M1000,"√")+COUNTIFS(预测日志!R2:R1000,"&gt;0",预测日志!M2:M1000,"×")</f>
        <v>4</v>
      </c>
    </row>
    <row r="15" customFormat="false" ht="15" hidden="false" customHeight="true" outlineLevel="0" collapsed="false">
      <c r="A15" s="3" t="s">
        <v>60</v>
      </c>
      <c r="B15" s="1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19" t="s">
        <v>62</v>
      </c>
    </row>
    <row r="3" customFormat="false" ht="15" hidden="false" customHeight="true" outlineLevel="0" collapsed="false">
      <c r="A3" s="20" t="s">
        <v>63</v>
      </c>
      <c r="B3" s="21" t="s">
        <v>64</v>
      </c>
    </row>
    <row r="4" customFormat="false" ht="15" hidden="false" customHeight="true" outlineLevel="0" collapsed="false">
      <c r="A4" s="20" t="s">
        <v>65</v>
      </c>
      <c r="B4" s="21" t="s">
        <v>66</v>
      </c>
    </row>
    <row r="5" customFormat="false" ht="15" hidden="false" customHeight="true" outlineLevel="0" collapsed="false">
      <c r="A5" s="20" t="s">
        <v>67</v>
      </c>
      <c r="B5" s="21" t="s">
        <v>68</v>
      </c>
    </row>
    <row r="6" customFormat="false" ht="15" hidden="false" customHeight="true" outlineLevel="0" collapsed="false">
      <c r="A6" s="20" t="s">
        <v>69</v>
      </c>
      <c r="B6" s="21" t="s">
        <v>70</v>
      </c>
    </row>
    <row r="7" customFormat="false" ht="15" hidden="false" customHeight="true" outlineLevel="0" collapsed="false">
      <c r="A7" s="20" t="s">
        <v>71</v>
      </c>
      <c r="B7" s="21" t="s">
        <v>72</v>
      </c>
    </row>
    <row r="8" customFormat="false" ht="15" hidden="false" customHeight="true" outlineLevel="0" collapsed="false">
      <c r="A8" s="20" t="s">
        <v>7</v>
      </c>
      <c r="B8" s="21" t="s">
        <v>73</v>
      </c>
    </row>
    <row r="9" customFormat="false" ht="15" hidden="false" customHeight="true" outlineLevel="0" collapsed="false">
      <c r="A9" s="20" t="s">
        <v>14</v>
      </c>
      <c r="B9" s="21" t="s">
        <v>74</v>
      </c>
    </row>
    <row r="10" customFormat="false" ht="15" hidden="false" customHeight="true" outlineLevel="0" collapsed="false">
      <c r="A10" s="20" t="s">
        <v>75</v>
      </c>
      <c r="B10" s="22" t="s">
        <v>76</v>
      </c>
    </row>
    <row r="11" customFormat="false" ht="15" hidden="false" customHeight="true" outlineLevel="0" collapsed="false">
      <c r="A11" s="20" t="s">
        <v>77</v>
      </c>
      <c r="B11" s="21" t="s">
        <v>78</v>
      </c>
    </row>
    <row r="12" customFormat="false" ht="15" hidden="false" customHeight="true" outlineLevel="0" collapsed="false">
      <c r="A12" s="20" t="s">
        <v>79</v>
      </c>
      <c r="B12" s="22" t="s">
        <v>80</v>
      </c>
    </row>
    <row r="13" customFormat="false" ht="15" hidden="false" customHeight="true" outlineLevel="0" collapsed="false">
      <c r="A13" s="3" t="s">
        <v>17</v>
      </c>
      <c r="B13" s="3" t="s">
        <v>81</v>
      </c>
    </row>
    <row r="14" customFormat="false" ht="15" hidden="false" customHeight="false" outlineLevel="0" collapsed="false">
      <c r="A14" s="23" t="s">
        <v>82</v>
      </c>
      <c r="B14" s="23" t="s">
        <v>83</v>
      </c>
    </row>
    <row r="15" customFormat="false" ht="15" hidden="false" customHeight="false" outlineLevel="0" collapsed="false">
      <c r="A15" s="23" t="s">
        <v>84</v>
      </c>
      <c r="B15" s="1" t="s">
        <v>85</v>
      </c>
    </row>
    <row r="16" customFormat="false" ht="15" hidden="false" customHeight="false" outlineLevel="0" collapsed="false">
      <c r="A16" s="23" t="s">
        <v>86</v>
      </c>
      <c r="B16" s="23" t="s">
        <v>87</v>
      </c>
    </row>
    <row r="17" customFormat="false" ht="15" hidden="false" customHeight="false" outlineLevel="0" collapsed="false">
      <c r="A17" s="23" t="s">
        <v>88</v>
      </c>
      <c r="B17" s="23" t="s">
        <v>89</v>
      </c>
    </row>
    <row r="18" customFormat="false" ht="15" hidden="false" customHeight="false" outlineLevel="0" collapsed="false">
      <c r="A18" s="23" t="s">
        <v>90</v>
      </c>
      <c r="B18" s="23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2026-08-27T02:36:17Z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