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<sst xmlns="http://schemas.openxmlformats.org/spreadsheetml/2006/main" count="234" uniqueCount="150">
  <si>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</si>
  <si>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</si>
  <si>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</si>
  <si>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</si>
  <si>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</si>
  <si>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</si>
  <si>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</si>
  <si>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</si>
  <si>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</si>
  <si>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</si>
  <si>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</si>
  <si>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</si>
  <si>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</si>
  <si>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</si>
  <si>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</si>
  <si>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</si>
  <si>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</si>
  <si>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</si>
  <si>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</si>
  <si>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</si>
  <si>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</si>
  <si>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</si>
  <si>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</si>
  <si>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</si>
  <si>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</si>
  <si>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</si>
  <si>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</si>
  <si>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</si>
  <si>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</si>
  <si>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</si>
  <si>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</si>
  <si>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</si>
  <si>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</si>
  <si>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</si>
  <si>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</si>
  <si>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</si>
  <si>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</si>
  <si>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</si>
  <si>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</si>
  <si>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</si>
  <si>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</si>
  <si>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</si>
  <si>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</si>
  <si>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</si>
  <si>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</si>
  <si>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</si>
  <si>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</si>
  <si>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</si>
  <si>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</si>
  <si>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</si>
  <si>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</si>
  <si>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</si>
  <si>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</si>
  <si>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</si>
  <si>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</si>
  <si>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</si>
  <si>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</si>
  <si>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</si>
  <si>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</si>
  <si>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</si>
  <si>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</si>
  <si>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</si>
  <si>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</si>
  <si>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</si>
  <si>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</si>
  <si>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</si>
  <si>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</si>
  <si>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</si>
  <si>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</si>
  <si>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</si>
  <si>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</si>
  <si>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</si>
  <si>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</si>
  <si>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</si>
  <si>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</si>
  <si>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</si>
  <si>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</si>
  <si>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2026-09-08</t>
  </si>
  <si>
    <t xml:space="preserve">2026-09-08 06:35</t>
  </si>
  <si>
    <t xml:space="preserve">趋势涨(20日+3.46%未超买)伴宽幅整理(4410三测不破,V反4467受阻未收复200日线4536)</t>
  </si>
  <si>
    <t xml:space="preserve">地缘避险(美袭委内瑞拉+美伊紧张)+4410三日不破+央行购金21连月托底[部分定价];但鹰派重定价+美元近一月高位+200日线下技术压制,反弹试阻力</t>
  </si>
  <si>
    <t xml:space="preserve">周二06:35晨间定时执行成功(克隆仓库版);方向押涨+档位押中:支撑三测不破+卖压衰竭+避险增量,美元高位压制反弹高度;更正:FOMC实为9/15-16本周三无决议,CPI周五9/11</t>
  </si>
  <si>
    <t xml:space="preserve">2026-09-09</t>
  </si>
  <si>
    <t xml:space="preserve">2026-09-09 06:41</t>
  </si>
  <si>
    <t xml:space="preserve">震荡(20日+1.55%,60日+1.09%自4663回落后重返区间起点)伴短期下行加速(10日-5.60%三连阴破4400,逼近百日线4346)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</si>
  <si>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三测支撑</t>
    </r>
    <r>
      <rPr>
        <sz val="11"/>
        <color rgb="FF000000"/>
        <rFont val="Calibri"/>
        <family val="2"/>
        <charset val="1"/>
      </rPr>
      <t xml:space="preserve">9/8</t>
    </r>
    <r>
      <rPr>
        <sz val="11"/>
        <color rgb="FF000000"/>
        <rFont val="Noto Sans CJK SC"/>
        <family val="2"/>
      </rPr>
      <t xml:space="preserve">破位</t>
    </r>
    <r>
      <rPr>
        <sz val="11"/>
        <color rgb="FF000000"/>
        <rFont val="Calibri"/>
        <family val="2"/>
        <charset val="1"/>
      </rPr>
      <t xml:space="preserve">(-1.23%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4400/4380)+FedWatch 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美元强势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技术阻力最小路径向下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为下一关口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破位看</t>
    </r>
    <r>
      <rPr>
        <sz val="11"/>
        <color rgb="FF000000"/>
        <rFont val="Calibri"/>
        <family val="2"/>
        <charset val="1"/>
      </rPr>
      <t xml:space="preserve">4300)+</t>
    </r>
    <r>
      <rPr>
        <sz val="11"/>
        <color rgb="FF000000"/>
        <rFont val="Noto Sans CJK SC"/>
        <family val="2"/>
      </rPr>
      <t xml:space="preserve">避险溢价回吐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投机持仓撤离；支撑</t>
    </r>
    <r>
      <rPr>
        <sz val="11"/>
        <color rgb="FF000000"/>
        <rFont val="Calibri"/>
        <family val="2"/>
        <charset val="1"/>
      </rPr>
      <t xml:space="preserve">:PBOC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百日线首触争夺</t>
    </r>
    <r>
      <rPr>
        <sz val="11"/>
        <color rgb="FF000000"/>
        <rFont val="Calibri"/>
        <family val="2"/>
        <charset val="1"/>
      </rPr>
      <t xml:space="preserve">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-5.6%</t>
    </r>
    <r>
      <rPr>
        <sz val="11"/>
        <color rgb="FF000000"/>
        <rFont val="Noto Sans CJK SC"/>
        <family val="2"/>
      </rPr>
      <t xml:space="preserve">超卖反弹弹性；风险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超跌反弹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地缘再升级</t>
    </r>
  </si>
  <si>
    <t xml:space="preserve">2026-09-10</t>
  </si>
  <si>
    <t xml:space="preserve">2026-09-10 06:46</t>
  </si>
  <si>
    <t xml:space="preserve">震荡(20日+1.73%)伴超卖反弹启动(9/9+1.08%收复4400,10日约-4.9%,低点4329→4356抬高高点4474→4409下移收敛三角)</t>
  </si>
  <si>
    <r>
      <rPr>
        <sz val="11"/>
        <color rgb="FF000000"/>
        <rFont val="Calibri"/>
        <family val="2"/>
        <charset val="1"/>
      </rPr>
      <t xml:space="preserve">4410</t>
    </r>
    <r>
      <rPr>
        <sz val="11"/>
        <color rgb="FF000000"/>
        <rFont val="Noto Sans CJK SC"/>
        <family val="2"/>
      </rPr>
      <t xml:space="preserve">原三测支撑变阻力昨夜首触回落</t>
    </r>
    <r>
      <rPr>
        <sz val="11"/>
        <color rgb="FF000000"/>
        <rFont val="Calibri"/>
        <family val="2"/>
        <charset val="1"/>
      </rPr>
      <t xml:space="preserve">(4408.9→4403.7)+</t>
    </r>
    <r>
      <rPr>
        <sz val="11"/>
        <color rgb="FF000000"/>
        <rFont val="Noto Sans CJK SC"/>
        <family val="2"/>
      </rPr>
      <t xml:space="preserve">鹰派主线未逆转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月加息概率约</t>
    </r>
    <r>
      <rPr>
        <sz val="11"/>
        <color rgb="FF000000"/>
        <rFont val="Calibri"/>
        <family val="2"/>
        <charset val="1"/>
      </rPr>
      <t xml:space="preserve">60%</t>
    </r>
    <r>
      <rPr>
        <sz val="11"/>
        <color rgb="FF000000"/>
        <rFont val="Noto Sans CJK SC"/>
        <family val="2"/>
      </rPr>
      <t xml:space="preserve">美元近一月高位</t>
    </r>
    <r>
      <rPr>
        <sz val="11"/>
        <color rgb="FF000000"/>
        <rFont val="Calibri"/>
        <family val="2"/>
        <charset val="1"/>
      </rPr>
      <t xml:space="preserve">)+PPI</t>
    </r>
    <r>
      <rPr>
        <sz val="11"/>
        <color rgb="FF000000"/>
        <rFont val="Noto Sans CJK SC"/>
        <family val="2"/>
      </rPr>
      <t xml:space="preserve">今晚</t>
    </r>
    <r>
      <rPr>
        <sz val="11"/>
        <color rgb="FF000000"/>
        <rFont val="Calibri"/>
        <family val="2"/>
        <charset val="1"/>
      </rPr>
      <t xml:space="preserve">20:30</t>
    </r>
    <r>
      <rPr>
        <sz val="11"/>
        <color rgb="FF000000"/>
        <rFont val="Noto Sans CJK SC"/>
        <family val="2"/>
      </rPr>
      <t xml:space="preserve">窗口内</t>
    </r>
    <r>
      <rPr>
        <sz val="11"/>
        <color rgb="FF000000"/>
        <rFont val="Calibri"/>
        <family val="2"/>
        <charset val="1"/>
      </rPr>
      <t xml:space="preserve">+CPI</t>
    </r>
    <r>
      <rPr>
        <sz val="11"/>
        <color rgb="FF000000"/>
        <rFont val="Noto Sans CJK SC"/>
        <family val="2"/>
      </rPr>
      <t xml:space="preserve">明晚</t>
    </r>
    <r>
      <rPr>
        <sz val="11"/>
        <color rgb="FF000000"/>
        <rFont val="Calibri"/>
        <family val="2"/>
        <charset val="1"/>
      </rPr>
      <t xml:space="preserve">+FOMC</t>
    </r>
    <r>
      <rPr>
        <sz val="11"/>
        <color rgb="FF000000"/>
        <rFont val="Noto Sans CJK SC"/>
        <family val="2"/>
      </rPr>
      <t xml:space="preserve">下周三连事件前夜波动收敛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昨日</t>
    </r>
    <r>
      <rPr>
        <sz val="11"/>
        <color rgb="FF000000"/>
        <rFont val="Calibri"/>
        <family val="2"/>
        <charset val="1"/>
      </rPr>
      <t xml:space="preserve">+1.08%</t>
    </r>
    <r>
      <rPr>
        <sz val="11"/>
        <color rgb="FF000000"/>
        <rFont val="Noto Sans CJK SC"/>
        <family val="2"/>
      </rPr>
      <t xml:space="preserve">短线获利盘落袋倾向；托底</t>
    </r>
    <r>
      <rPr>
        <sz val="11"/>
        <color rgb="FF000000"/>
        <rFont val="Calibri"/>
        <family val="2"/>
        <charset val="1"/>
      </rPr>
      <t xml:space="preserve">:RSI30.5</t>
    </r>
    <r>
      <rPr>
        <sz val="11"/>
        <color rgb="FF000000"/>
        <rFont val="Noto Sans CJK SC"/>
        <family val="2"/>
      </rPr>
      <t xml:space="preserve">超卖修复刚启动</t>
    </r>
    <r>
      <rPr>
        <sz val="11"/>
        <color rgb="FF000000"/>
        <rFont val="Calibri"/>
        <family val="2"/>
        <charset val="1"/>
      </rPr>
      <t xml:space="preserve">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+20t)+</t>
    </r>
    <r>
      <rPr>
        <sz val="11"/>
        <color rgb="FF000000"/>
        <rFont val="Noto Sans CJK SC"/>
        <family val="2"/>
      </rPr>
      <t xml:space="preserve">百日线</t>
    </r>
    <r>
      <rPr>
        <sz val="11"/>
        <color rgb="FF000000"/>
        <rFont val="Calibri"/>
        <family val="2"/>
        <charset val="1"/>
      </rPr>
      <t xml:space="preserve">4346</t>
    </r>
    <r>
      <rPr>
        <sz val="11"/>
        <color rgb="FF000000"/>
        <rFont val="Noto Sans CJK SC"/>
        <family val="2"/>
      </rPr>
      <t xml:space="preserve">首触获承接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低点抬高；押跌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小</t>
    </r>
    <r>
      <rPr>
        <sz val="11"/>
        <color rgb="FF000000"/>
        <rFont val="Calibri"/>
        <family val="2"/>
        <charset val="1"/>
      </rPr>
      <t xml:space="preserve">=</t>
    </r>
    <r>
      <rPr>
        <sz val="11"/>
        <color rgb="FF000000"/>
        <rFont val="Noto Sans CJK SC"/>
        <family val="2"/>
      </rPr>
      <t xml:space="preserve">高位窄幅整理微跌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非赌深跌</t>
    </r>
  </si>
  <si>
    <t xml:space="preserve">周四06:46晨间定时执行成功(克隆仓库版)；方向押跌+档位押小:连续四日方向错(9/4、9/7、9/8、9/9)后本判断基于当日信号独立作出——昨夜4410阻力首触回落+三连事件前夜收敛+鹰派主线未变,同时超卖修复与央行买盘限制深跌→押反弹衰竭微跌整理,非追结果式反向(未翻多)；累计方向7/13、档位4/13</t>
  </si>
  <si>
    <t xml:space="preserve">2026-09-11</t>
  </si>
  <si>
    <t xml:space="preserve">2026-09-11 06:35</t>
  </si>
  <si>
    <t xml:space="preserve">震荡(20日+0.72%)伴破位下行(昨夜-1.9%失守百日线4346/9月低点4329,10日约-6%,距4300关口-0.46%)</t>
  </si>
  <si>
    <t xml:space="preserve">技术三重破位(百日线4346+9/1低点4329+60日区间下沿)昨夜PPI后-1.9%收于低位+鹰派主线未逆转(9月加息概率约60%美元近一月高位)+今晚20:30 CPI(8月预期偏热)落在窗口正中；托底:RSI约30超卖加深+PBOC连买21月(7月+20t近三年最大)+4300整数关口买盘；事件降档规则:原始大档→中</t>
  </si>
  <si>
    <t xml:space="preserve">周五06:35晨间定时执行成功(克隆仓库版)；方向押跌+档位押中:破位惯性+鹰派主线+CPI落地兑现,事件降档规则原始大→中(非追结果式上修,基于当日信号独立判断:20日均幅1.04%+近5日实际档位3大2中+破位首日)；规则冻结期沿用既有规则；9/10方向√档位×后累计方向8/14、档位4/14</t>
  </si>
  <si>
    <t xml:space="preserve">2026-09-14</t>
  </si>
  <si>
    <t xml:space="preserve">2026-09-14 06:40</t>
  </si>
  <si>
    <t xml:space="preserve">震荡(20日+0.3%锯齿)伴长短期背离(60日+5.67%长期趋势涨vs10日-4.00%短期回调)+周五4300假破位反弹受阻(冲高4373.7回落收4349.7,今晨软开4337重回百日线4346下方)</t>
  </si>
  <si>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会前鹰派压制</t>
    </r>
    <r>
      <rPr>
        <sz val="11"/>
        <color rgb="FF000000"/>
        <rFont val="Calibri"/>
        <family val="2"/>
        <charset val="1"/>
      </rPr>
      <t xml:space="preserve">(CPI</t>
    </r>
    <r>
      <rPr>
        <sz val="11"/>
        <color rgb="FF000000"/>
        <rFont val="Noto Sans CJK SC"/>
        <family val="2"/>
      </rPr>
      <t xml:space="preserve">后</t>
    </r>
    <r>
      <rPr>
        <sz val="11"/>
        <color rgb="FF000000"/>
        <rFont val="Calibri"/>
        <family val="2"/>
        <charset val="1"/>
      </rPr>
      <t xml:space="preserve">9</t>
    </r>
    <r>
      <rPr>
        <sz val="11"/>
        <color rgb="FF000000"/>
        <rFont val="Noto Sans CJK SC"/>
        <family val="2"/>
      </rPr>
      <t xml:space="preserve">月加息几乎确定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噤声期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周五</t>
    </r>
    <r>
      <rPr>
        <sz val="11"/>
        <color rgb="FF000000"/>
        <rFont val="Calibri"/>
        <family val="2"/>
        <charset val="1"/>
      </rPr>
      <t xml:space="preserve">CPI</t>
    </r>
    <r>
      <rPr>
        <sz val="11"/>
        <color rgb="FF000000"/>
        <rFont val="Noto Sans CJK SC"/>
        <family val="2"/>
      </rPr>
      <t xml:space="preserve">后冲高</t>
    </r>
    <r>
      <rPr>
        <sz val="11"/>
        <color rgb="FF000000"/>
        <rFont val="Calibri"/>
        <family val="2"/>
        <charset val="1"/>
      </rPr>
      <t xml:space="preserve">4373.7</t>
    </r>
    <r>
      <rPr>
        <sz val="11"/>
        <color rgb="FF000000"/>
        <rFont val="Noto Sans CJK SC"/>
        <family val="2"/>
      </rPr>
      <t xml:space="preserve">回落约</t>
    </r>
    <r>
      <rPr>
        <sz val="11"/>
        <color rgb="FF000000"/>
        <rFont val="Calibri"/>
        <family val="2"/>
        <charset val="1"/>
      </rPr>
      <t xml:space="preserve">24</t>
    </r>
    <r>
      <rPr>
        <sz val="11"/>
        <color rgb="FF000000"/>
        <rFont val="Noto Sans CJK SC"/>
        <family val="2"/>
      </rPr>
      <t xml:space="preserve">美元上影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反弹动能未确认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今晨亚市软开</t>
    </r>
    <r>
      <rPr>
        <sz val="11"/>
        <color rgb="FF000000"/>
        <rFont val="Calibri"/>
        <family val="2"/>
        <charset val="1"/>
      </rPr>
      <t xml:space="preserve">-0.28%[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$4300</t>
    </r>
    <r>
      <rPr>
        <sz val="11"/>
        <color rgb="FF000000"/>
        <rFont val="Noto Sans CJK SC"/>
        <family val="2"/>
      </rPr>
      <t xml:space="preserve">两日双守假破位买盘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央行购金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个月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</t>
    </r>
    <r>
      <rPr>
        <sz val="11"/>
        <color rgb="FF000000"/>
        <rFont val="Noto Sans CJK SC"/>
        <family val="2"/>
      </rPr>
      <t xml:space="preserve">吨三年最大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]+10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</t>
    </r>
  </si>
  <si>
    <t xml:space="preserve">周一06:40晨间定时执行成功(克隆仓库版)；方向押跌+档位押中:FOMC会前鹰派压制(决议北京周四02:00不在今日窗口,不触发事件降档)+周五冲高回落+今晨软开；9/11结算(押跌/中55% vs 实际+0.69%涨/中:方向×档位√)后基于当日信号独立判断,非追结果式；规则冻结期沿用既有规则；累计方向8/15、档位5/15</t>
  </si>
  <si>
    <t xml:space="preserve">2026-09-15</t>
  </si>
  <si>
    <t xml:space="preserve">2026-09-15 06:40</t>
  </si>
  <si>
    <r>
      <rPr>
        <sz val="11"/>
        <color rgb="FF000000"/>
        <rFont val="Noto Sans CJK SC"/>
        <family val="2"/>
      </rPr>
      <t xml:space="preserve">震荡</t>
    </r>
    <r>
      <rPr>
        <sz val="11"/>
        <color rgb="FF000000"/>
        <rFont val="Calibri"/>
        <family val="2"/>
        <charset val="1"/>
      </rPr>
      <t xml:space="preserve">(20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+0.3%</t>
    </r>
    <r>
      <rPr>
        <sz val="11"/>
        <color rgb="FF000000"/>
        <rFont val="Noto Sans CJK SC"/>
        <family val="2"/>
      </rPr>
      <t xml:space="preserve">锯齿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伴破位后低位拉锯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周一失守</t>
    </r>
    <r>
      <rPr>
        <sz val="11"/>
        <color rgb="FF000000"/>
        <rFont val="Calibri"/>
        <family val="2"/>
        <charset val="1"/>
      </rPr>
      <t xml:space="preserve">$4300/200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$4313</t>
    </r>
    <r>
      <rPr>
        <sz val="11"/>
        <color rgb="FF000000"/>
        <rFont val="Noto Sans CJK SC"/>
        <family val="2"/>
      </rPr>
      <t xml:space="preserve">收</t>
    </r>
    <r>
      <rPr>
        <sz val="11"/>
        <color rgb="FF000000"/>
        <rFont val="Calibri"/>
        <family val="2"/>
        <charset val="1"/>
      </rPr>
      <t xml:space="preserve">$4296.7,</t>
    </r>
    <r>
      <rPr>
        <sz val="11"/>
        <color rgb="FF000000"/>
        <rFont val="Noto Sans CJK SC"/>
        <family val="2"/>
      </rPr>
      <t xml:space="preserve">日内低</t>
    </r>
    <r>
      <rPr>
        <sz val="11"/>
        <color rgb="FF000000"/>
        <rFont val="Calibri"/>
        <family val="2"/>
        <charset val="1"/>
      </rPr>
      <t xml:space="preserve">$4285.9</t>
    </r>
    <r>
      <rPr>
        <sz val="11"/>
        <color rgb="FF000000"/>
        <rFont val="Noto Sans CJK SC"/>
        <family val="2"/>
      </rPr>
      <t xml:space="preserve">获承接</t>
    </r>
    <r>
      <rPr>
        <sz val="11"/>
        <color rgb="FF000000"/>
        <rFont val="Calibri"/>
        <family val="2"/>
        <charset val="1"/>
      </rPr>
      <t xml:space="preserve">;60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+5.67%</t>
    </r>
    <r>
      <rPr>
        <sz val="11"/>
        <color rgb="FF000000"/>
        <rFont val="Noto Sans CJK SC"/>
        <family val="2"/>
      </rPr>
      <t xml:space="preserve">长期趋势涨</t>
    </r>
    <r>
      <rPr>
        <sz val="11"/>
        <color rgb="FF000000"/>
        <rFont val="Calibri"/>
        <family val="2"/>
        <charset val="1"/>
      </rPr>
      <t xml:space="preserve">vs10</t>
    </r>
    <r>
      <rPr>
        <sz val="11"/>
        <color rgb="FF000000"/>
        <rFont val="Noto Sans CJK SC"/>
        <family val="2"/>
      </rPr>
      <t xml:space="preserve">日约</t>
    </r>
    <r>
      <rPr>
        <sz val="11"/>
        <color rgb="FF000000"/>
        <rFont val="Calibri"/>
        <family val="2"/>
        <charset val="1"/>
      </rPr>
      <t xml:space="preserve">-4%</t>
    </r>
    <r>
      <rPr>
        <sz val="11"/>
        <color rgb="FF000000"/>
        <rFont val="Noto Sans CJK SC"/>
        <family val="2"/>
      </rPr>
      <t xml:space="preserve">短期下行加速</t>
    </r>
    <r>
      <rPr>
        <sz val="11"/>
        <color rgb="FF000000"/>
        <rFont val="Calibri"/>
        <family val="2"/>
        <charset val="1"/>
      </rPr>
      <t xml:space="preserve">,</t>
    </r>
    <r>
      <rPr>
        <sz val="11"/>
        <color rgb="FF000000"/>
        <rFont val="Noto Sans CJK SC"/>
        <family val="2"/>
      </rPr>
      <t xml:space="preserve">长短期背离深化</t>
    </r>
    <r>
      <rPr>
        <sz val="11"/>
        <color rgb="FF000000"/>
        <rFont val="Calibri"/>
        <family val="2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</si>
  <si>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近</t>
    </r>
    <r>
      <rPr>
        <sz val="11"/>
        <color rgb="FF000000"/>
        <rFont val="Calibri"/>
        <family val="2"/>
        <charset val="1"/>
      </rPr>
      <t xml:space="preserve">5</t>
    </r>
    <r>
      <rPr>
        <sz val="11"/>
        <color rgb="FF000000"/>
        <rFont val="Noto Sans CJK SC"/>
        <family val="2"/>
      </rPr>
      <t xml:space="preserve">个交易日涨跌严格交替</t>
    </r>
    <r>
      <rPr>
        <sz val="11"/>
        <color rgb="FF000000"/>
        <rFont val="Calibri"/>
        <family val="2"/>
        <charset val="1"/>
      </rPr>
      <t xml:space="preserve">+$4285-4300</t>
    </r>
    <r>
      <rPr>
        <sz val="11"/>
        <color rgb="FF000000"/>
        <rFont val="Noto Sans CJK SC"/>
        <family val="2"/>
      </rPr>
      <t xml:space="preserve">两日双守获承接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</t>
    </r>
    <r>
      <rPr>
        <sz val="11"/>
        <color rgb="FF000000"/>
        <rFont val="Noto Sans CJK SC"/>
        <family val="2"/>
      </rPr>
      <t xml:space="preserve">噤声期今日无新鹰派催化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决议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北京周四</t>
    </r>
    <r>
      <rPr>
        <sz val="11"/>
        <color rgb="FF000000"/>
        <rFont val="Calibri"/>
        <family val="2"/>
        <charset val="1"/>
      </rPr>
      <t xml:space="preserve">02:00)</t>
    </r>
    <r>
      <rPr>
        <sz val="11"/>
        <color rgb="FF000000"/>
        <rFont val="Noto Sans CJK SC"/>
        <family val="2"/>
      </rPr>
      <t xml:space="preserve">在窗外→会前空头获利回补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]+PBOC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21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(7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+20t)</t>
    </r>
    <r>
      <rPr>
        <sz val="11"/>
        <color rgb="FF000000"/>
        <rFont val="Noto Sans CJK SC"/>
        <family val="2"/>
      </rPr>
      <t xml:space="preserve">逢低接货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未释放</t>
    </r>
    <r>
      <rPr>
        <sz val="11"/>
        <color rgb="FF000000"/>
        <rFont val="Calibri"/>
        <family val="2"/>
        <charset val="1"/>
      </rPr>
      <t xml:space="preserve">] vs </t>
    </r>
    <r>
      <rPr>
        <sz val="11"/>
        <color rgb="FF000000"/>
        <rFont val="Noto Sans CJK SC"/>
        <family val="2"/>
      </rPr>
      <t xml:space="preserve">周一确认技术破位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失守</t>
    </r>
    <r>
      <rPr>
        <sz val="11"/>
        <color rgb="FF000000"/>
        <rFont val="Calibri"/>
        <family val="2"/>
        <charset val="1"/>
      </rPr>
      <t xml:space="preserve">$4300/200</t>
    </r>
    <r>
      <rPr>
        <sz val="11"/>
        <color rgb="FF000000"/>
        <rFont val="Noto Sans CJK SC"/>
        <family val="2"/>
      </rPr>
      <t xml:space="preserve">日线</t>
    </r>
    <r>
      <rPr>
        <sz val="11"/>
        <color rgb="FF000000"/>
        <rFont val="Calibri"/>
        <family val="2"/>
        <charset val="1"/>
      </rPr>
      <t xml:space="preserve">$4313,</t>
    </r>
    <r>
      <rPr>
        <sz val="11"/>
        <color rgb="FF000000"/>
        <rFont val="Noto Sans CJK SC"/>
        <family val="2"/>
      </rPr>
      <t xml:space="preserve">周五假破位反弹全数回吐</t>
    </r>
    <r>
      <rPr>
        <sz val="11"/>
        <color rgb="FF000000"/>
        <rFont val="Calibri"/>
        <family val="2"/>
        <charset val="1"/>
      </rPr>
      <t xml:space="preserve">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]+CPI</t>
    </r>
    <r>
      <rPr>
        <sz val="11"/>
        <color rgb="FF000000"/>
        <rFont val="Noto Sans CJK SC"/>
        <family val="2"/>
      </rPr>
      <t xml:space="preserve">后加息押注高企但口径分歧</t>
    </r>
    <r>
      <rPr>
        <sz val="11"/>
        <color rgb="FF000000"/>
        <rFont val="Calibri"/>
        <family val="2"/>
        <charset val="1"/>
      </rPr>
      <t xml:space="preserve">(30%-76%)[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]+CFTC/ETF</t>
    </r>
    <r>
      <rPr>
        <sz val="11"/>
        <color rgb="FF000000"/>
        <rFont val="Noto Sans CJK SC"/>
        <family val="2"/>
      </rPr>
      <t xml:space="preserve">投机持仓撤离</t>
    </r>
    <r>
      <rPr>
        <sz val="11"/>
        <color rgb="FF000000"/>
        <rFont val="Calibri"/>
        <family val="2"/>
        <charset val="1"/>
      </rPr>
      <t xml:space="preserve">[</t>
    </r>
    <r>
      <rPr>
        <sz val="11"/>
        <color rgb="FF000000"/>
        <rFont val="Noto Sans CJK SC"/>
        <family val="2"/>
      </rPr>
      <t xml:space="preserve">部分定价</t>
    </r>
    <r>
      <rPr>
        <sz val="11"/>
        <color rgb="FF000000"/>
        <rFont val="Calibri"/>
        <family val="2"/>
        <charset val="1"/>
      </rPr>
      <t xml:space="preserve">]→</t>
    </r>
    <r>
      <rPr>
        <sz val="11"/>
        <color rgb="FF000000"/>
        <rFont val="Noto Sans CJK SC"/>
        <family val="2"/>
      </rPr>
      <t xml:space="preserve">押超卖低位修复反弹</t>
    </r>
  </si>
  <si>
    <r>
      <rPr>
        <sz val="11"/>
        <color rgb="FF000000"/>
        <rFont val="Noto Sans CJK SC"/>
        <family val="2"/>
      </rPr>
      <t xml:space="preserve">周二</t>
    </r>
    <r>
      <rPr>
        <sz val="11"/>
        <color rgb="FF000000"/>
        <rFont val="Calibri"/>
        <family val="2"/>
        <charset val="1"/>
      </rPr>
      <t xml:space="preserve">06:40</t>
    </r>
    <r>
      <rPr>
        <sz val="11"/>
        <color rgb="FF000000"/>
        <rFont val="Noto Sans CJK SC"/>
        <family val="2"/>
      </rPr>
      <t xml:space="preserve">晨间定时执行成功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克隆仓库版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；方向押涨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档位押中</t>
    </r>
    <r>
      <rPr>
        <sz val="11"/>
        <color rgb="FF000000"/>
        <rFont val="Calibri"/>
        <family val="2"/>
        <charset val="1"/>
      </rPr>
      <t xml:space="preserve">:9/14</t>
    </r>
    <r>
      <rPr>
        <sz val="11"/>
        <color rgb="FF000000"/>
        <rFont val="Noto Sans CJK SC"/>
        <family val="2"/>
      </rPr>
      <t xml:space="preserve">押跌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中双√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实际</t>
    </r>
    <r>
      <rPr>
        <sz val="11"/>
        <color rgb="FF000000"/>
        <rFont val="Calibri"/>
        <family val="2"/>
        <charset val="1"/>
      </rPr>
      <t xml:space="preserve">-0.93%</t>
    </r>
    <r>
      <rPr>
        <sz val="11"/>
        <color rgb="FF000000"/>
        <rFont val="Noto Sans CJK SC"/>
        <family val="2"/>
      </rPr>
      <t xml:space="preserve">跌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中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后基于当日信号独立转向</t>
    </r>
    <r>
      <rPr>
        <sz val="11"/>
        <color rgb="FF000000"/>
        <rFont val="Calibri"/>
        <family val="2"/>
        <charset val="1"/>
      </rPr>
      <t xml:space="preserve">(</t>
    </r>
    <r>
      <rPr>
        <sz val="11"/>
        <color rgb="FF000000"/>
        <rFont val="Noto Sans CJK SC"/>
        <family val="2"/>
      </rPr>
      <t xml:space="preserve">非追结果式</t>
    </r>
    <r>
      <rPr>
        <sz val="11"/>
        <color rgb="FF000000"/>
        <rFont val="Calibri"/>
        <family val="2"/>
        <charset val="1"/>
      </rPr>
      <t xml:space="preserve">:</t>
    </r>
    <r>
      <rPr>
        <sz val="11"/>
        <color rgb="FF000000"/>
        <rFont val="Noto Sans CJK SC"/>
        <family val="2"/>
      </rPr>
      <t xml:space="preserve">价格由阻力区</t>
    </r>
    <r>
      <rPr>
        <sz val="11"/>
        <color rgb="FF000000"/>
        <rFont val="Calibri"/>
        <family val="2"/>
        <charset val="1"/>
      </rPr>
      <t xml:space="preserve">4337</t>
    </r>
    <r>
      <rPr>
        <sz val="11"/>
        <color rgb="FF000000"/>
        <rFont val="Noto Sans CJK SC"/>
        <family val="2"/>
      </rPr>
      <t xml:space="preserve">移至两日双守支撑区</t>
    </r>
    <r>
      <rPr>
        <sz val="11"/>
        <color rgb="FF000000"/>
        <rFont val="Calibri"/>
        <family val="2"/>
        <charset val="1"/>
      </rPr>
      <t xml:space="preserve">4296.7,</t>
    </r>
    <r>
      <rPr>
        <sz val="11"/>
        <color rgb="FF000000"/>
        <rFont val="Noto Sans CJK SC"/>
        <family val="2"/>
      </rPr>
      <t xml:space="preserve">窗口内噤声期无催化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决议移出窗外</t>
    </r>
    <r>
      <rPr>
        <sz val="11"/>
        <color rgb="FF000000"/>
        <rFont val="Calibri"/>
        <family val="2"/>
        <charset val="1"/>
      </rPr>
      <t xml:space="preserve">+5</t>
    </r>
    <r>
      <rPr>
        <sz val="11"/>
        <color rgb="FF000000"/>
        <rFont val="Noto Sans CJK SC"/>
        <family val="2"/>
      </rPr>
      <t xml:space="preserve">连交替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超卖修复弹性</t>
    </r>
    <r>
      <rPr>
        <sz val="11"/>
        <color rgb="FF000000"/>
        <rFont val="Calibri"/>
        <family val="2"/>
        <charset val="1"/>
      </rPr>
      <t xml:space="preserve">)</t>
    </r>
    <r>
      <rPr>
        <sz val="11"/>
        <color rgb="FF000000"/>
        <rFont val="Noto Sans CJK SC"/>
        <family val="2"/>
      </rPr>
      <t xml:space="preserve">；</t>
    </r>
    <r>
      <rPr>
        <sz val="11"/>
        <color rgb="FF000000"/>
        <rFont val="Calibri"/>
        <family val="2"/>
        <charset val="1"/>
      </rPr>
      <t xml:space="preserve">FOMC</t>
    </r>
    <r>
      <rPr>
        <sz val="11"/>
        <color rgb="FF000000"/>
        <rFont val="Noto Sans CJK SC"/>
        <family val="2"/>
      </rPr>
      <t xml:space="preserve">决议北京周四</t>
    </r>
    <r>
      <rPr>
        <sz val="11"/>
        <color rgb="FF000000"/>
        <rFont val="Calibri"/>
        <family val="2"/>
        <charset val="1"/>
      </rPr>
      <t xml:space="preserve">02:00</t>
    </r>
    <r>
      <rPr>
        <sz val="11"/>
        <color rgb="FF000000"/>
        <rFont val="Noto Sans CJK SC"/>
        <family val="2"/>
      </rPr>
      <t xml:space="preserve">不在窗口内不触发事件降档；规则冻结期沿用既有规则；累计方向</t>
    </r>
    <r>
      <rPr>
        <sz val="11"/>
        <color rgb="FF000000"/>
        <rFont val="Calibri"/>
        <family val="2"/>
        <charset val="1"/>
      </rPr>
      <t xml:space="preserve">9/16(56.3%)</t>
    </r>
    <r>
      <rPr>
        <sz val="11"/>
        <color rgb="FF000000"/>
        <rFont val="Noto Sans CJK SC"/>
        <family val="2"/>
      </rPr>
      <t xml:space="preserve">、档位</t>
    </r>
    <r>
      <rPr>
        <sz val="11"/>
        <color rgb="FF000000"/>
        <rFont val="Calibri"/>
        <family val="2"/>
        <charset val="1"/>
      </rPr>
      <t xml:space="preserve">6/16(37.5%)</t>
    </r>
    <r>
      <rPr>
        <sz val="11"/>
        <color rgb="FF000000"/>
        <rFont val="Noto Sans CJK SC"/>
        <family val="2"/>
      </rPr>
      <t xml:space="preserve">；校准样本</t>
    </r>
    <r>
      <rPr>
        <sz val="11"/>
        <color rgb="FF000000"/>
        <rFont val="Calibri"/>
        <family val="2"/>
        <charset val="1"/>
      </rPr>
      <t xml:space="preserve">16/20</t>
    </r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</si>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</sst>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 t="n">
        <v>4410.2</v>
      </c>
      <c r="J12" s="7" t="n">
        <f aca="false">IF(OR(I12="",C12=""),"",(I12-C12)/C12)</f>
        <v>-0.00431219380037486</v>
      </c>
      <c r="K12" s="4" t="str">
        <f aca="false">IF(J12="","",IF(J12&gt;0,"涨",IF(J12&lt;0,"跌","平")))</f>
        <v>跌</v>
      </c>
      <c r="L12" s="4" t="str">
        <f aca="false">IF(J12="","",IF(ABS(J12)&lt;=0.003,"小",IF(ABS(J12)&lt;=0.01,"中","大")))</f>
        <v>中</v>
      </c>
      <c r="M12" s="4" t="str">
        <f aca="false">IF(OR(D12="",K12=""),"",IF(D12=K12,"√","×"))</f>
        <v>×</v>
      </c>
      <c r="N12" s="4" t="str">
        <f aca="false">IF(OR(E12="",L12=""),"",IF(E12=L12,"√","×"))</f>
        <v>√</v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 t="s">
        <v>77</v>
      </c>
      <c r="B13" s="8" t="s">
        <v>78</v>
      </c>
      <c r="C13" s="9" t="n">
        <v>4410.2</v>
      </c>
      <c r="D13" s="10" t="s">
        <v>20</v>
      </c>
      <c r="E13" s="10" t="s">
        <v>33</v>
      </c>
      <c r="F13" s="10" t="s">
        <v>20</v>
      </c>
      <c r="G13" s="10" t="s">
        <v>33</v>
      </c>
      <c r="H13" s="10" t="s">
        <v>22</v>
      </c>
      <c r="I13" s="9" t="n">
        <v>4356</v>
      </c>
      <c r="J13" s="11" t="n">
        <f aca="false">IF(OR(I13="",C13=""),"",(I13-C13)/C13)</f>
        <v>-0.0122896920774568</v>
      </c>
      <c r="K13" s="8" t="str">
        <f aca="false">IF(J13="","",IF(J13&gt;0,"涨",IF(J13&lt;0,"跌","平")))</f>
        <v>跌</v>
      </c>
      <c r="L13" s="8" t="str">
        <f aca="false">IF(J13="","",IF(ABS(J13)&lt;=0.003,"小",IF(ABS(J13)&lt;=0.01,"中","大")))</f>
        <v>大</v>
      </c>
      <c r="M13" s="8" t="str">
        <f aca="false">IF(OR(D13="",K13=""),"",IF(D13=K13,"√","×"))</f>
        <v>×</v>
      </c>
      <c r="N13" s="8" t="str">
        <f aca="false">IF(OR(E13="",L13=""),"",IF(E13=L13,"√","×"))</f>
        <v>×</v>
      </c>
      <c r="O13" s="10" t="s">
        <v>79</v>
      </c>
      <c r="P13" s="10" t="s">
        <v>80</v>
      </c>
      <c r="Q13" s="10" t="s">
        <v>81</v>
      </c>
      <c r="R13" s="1" t="n">
        <v>55</v>
      </c>
    </row>
    <row r="14" customFormat="false" ht="15" hidden="false" customHeight="true" outlineLevel="0" collapsed="false">
      <c r="A14" s="4" t="s">
        <v>82</v>
      </c>
      <c r="B14" s="4" t="s">
        <v>83</v>
      </c>
      <c r="C14" s="5" t="n">
        <v>4356.7</v>
      </c>
      <c r="D14" s="6" t="s">
        <v>44</v>
      </c>
      <c r="E14" s="6" t="s">
        <v>33</v>
      </c>
      <c r="F14" s="6" t="s">
        <v>44</v>
      </c>
      <c r="G14" s="6" t="s">
        <v>33</v>
      </c>
      <c r="H14" s="6" t="s">
        <v>22</v>
      </c>
      <c r="I14" s="5" t="n">
        <v>4403.7</v>
      </c>
      <c r="J14" s="7" t="n">
        <f aca="false">IF(OR(I14="",C14=""),"",(I14-C14)/C14)</f>
        <v>0.0107879817292905</v>
      </c>
      <c r="K14" s="4" t="str">
        <f aca="false">IF(J14="","",IF(J14&gt;0,"涨",IF(J14&lt;0,"跌","平")))</f>
        <v>涨</v>
      </c>
      <c r="L14" s="4" t="str">
        <f aca="false">IF(J14="","",IF(ABS(J14)&lt;=0.003,"小",IF(ABS(J14)&lt;=0.01,"中","大")))</f>
        <v>大</v>
      </c>
      <c r="M14" s="4" t="str">
        <f aca="false">IF(OR(D14="",K14=""),"",IF(D14=K14,"√","×"))</f>
        <v>×</v>
      </c>
      <c r="N14" s="4" t="str">
        <f aca="false">IF(OR(E14="",L14=""),"",IF(E14=L14,"√","×"))</f>
        <v>×</v>
      </c>
      <c r="O14" s="6" t="s">
        <v>84</v>
      </c>
      <c r="P14" s="4" t="s">
        <v>85</v>
      </c>
      <c r="Q14" s="4"/>
      <c r="R14" s="1" t="n">
        <v>60</v>
      </c>
    </row>
    <row r="15" customFormat="false" ht="15" hidden="false" customHeight="true" outlineLevel="0" collapsed="false">
      <c r="A15" s="8" t="s">
        <v>86</v>
      </c>
      <c r="B15" s="8" t="s">
        <v>87</v>
      </c>
      <c r="C15" s="9" t="n">
        <v>4403.7</v>
      </c>
      <c r="D15" s="10" t="s">
        <v>44</v>
      </c>
      <c r="E15" s="10" t="s">
        <v>38</v>
      </c>
      <c r="F15" s="10" t="s">
        <v>44</v>
      </c>
      <c r="G15" s="10" t="s">
        <v>38</v>
      </c>
      <c r="H15" s="10" t="s">
        <v>22</v>
      </c>
      <c r="I15" s="9" t="n">
        <v>4319.9</v>
      </c>
      <c r="J15" s="11" t="n">
        <f aca="false">IF(OR(I15="",C15=""),"",(I15-C15)/C15)</f>
        <v>-0.0190294525058474</v>
      </c>
      <c r="K15" s="8" t="str">
        <f aca="false">IF(J15="","",IF(J15&gt;0,"涨",IF(J15&lt;0,"跌","平")))</f>
        <v>跌</v>
      </c>
      <c r="L15" s="8" t="str">
        <f aca="false">IF(J15="","",IF(ABS(J15)&lt;=0.003,"小",IF(ABS(J15)&lt;=0.01,"中","大")))</f>
        <v>大</v>
      </c>
      <c r="M15" s="8" t="str">
        <f aca="false">IF(OR(D15="",K15=""),"",IF(D15=K15,"√","×"))</f>
        <v>√</v>
      </c>
      <c r="N15" s="8" t="str">
        <f aca="false">IF(OR(E15="",L15=""),"",IF(E15=L15,"√","×"))</f>
        <v>×</v>
      </c>
      <c r="O15" s="10" t="s">
        <v>88</v>
      </c>
      <c r="P15" s="8" t="s">
        <v>89</v>
      </c>
      <c r="Q15" s="10" t="s">
        <v>90</v>
      </c>
      <c r="R15" s="1" t="n">
        <v>55</v>
      </c>
    </row>
    <row r="16" customFormat="false" ht="15" hidden="false" customHeight="true" outlineLevel="0" collapsed="false">
      <c r="A16" s="4" t="s">
        <v>91</v>
      </c>
      <c r="B16" s="4" t="s">
        <v>92</v>
      </c>
      <c r="C16" s="5" t="n">
        <v>4319.9</v>
      </c>
      <c r="D16" s="6" t="s">
        <v>44</v>
      </c>
      <c r="E16" s="6" t="s">
        <v>33</v>
      </c>
      <c r="F16" s="6" t="s">
        <v>44</v>
      </c>
      <c r="G16" s="6" t="s">
        <v>33</v>
      </c>
      <c r="H16" s="6" t="s">
        <v>22</v>
      </c>
      <c r="I16" s="5" t="n">
        <v>4349.7</v>
      </c>
      <c r="J16" s="7" t="n">
        <f aca="false">IF(OR(I16="",C16=""),"",(I16-C16)/C16)</f>
        <v>0.00689830783119984</v>
      </c>
      <c r="K16" s="4" t="str">
        <f aca="false">IF(J16="","",IF(J16&gt;0,"涨",IF(J16&lt;0,"跌","平")))</f>
        <v>涨</v>
      </c>
      <c r="L16" s="4" t="str">
        <f aca="false">IF(J16="","",IF(ABS(J16)&lt;=0.003,"小",IF(ABS(J16)&lt;=0.01,"中","大")))</f>
        <v>中</v>
      </c>
      <c r="M16" s="4" t="str">
        <f aca="false">IF(OR(D16="",K16=""),"",IF(D16=K16,"√","×"))</f>
        <v>×</v>
      </c>
      <c r="N16" s="4" t="str">
        <f aca="false">IF(OR(E16="",L16=""),"",IF(E16=L16,"√","×"))</f>
        <v>√</v>
      </c>
      <c r="O16" s="6" t="s">
        <v>93</v>
      </c>
      <c r="P16" s="6" t="s">
        <v>94</v>
      </c>
      <c r="Q16" s="6" t="s">
        <v>95</v>
      </c>
      <c r="R16" s="1" t="n">
        <v>55</v>
      </c>
    </row>
    <row r="17" customFormat="false" ht="15" hidden="false" customHeight="true" outlineLevel="0" collapsed="false">
      <c r="A17" s="8" t="s">
        <v>96</v>
      </c>
      <c r="B17" s="8" t="s">
        <v>97</v>
      </c>
      <c r="C17" s="9" t="n">
        <v>4337.2</v>
      </c>
      <c r="D17" s="10" t="s">
        <v>44</v>
      </c>
      <c r="E17" s="10" t="s">
        <v>33</v>
      </c>
      <c r="F17" s="10" t="s">
        <v>44</v>
      </c>
      <c r="G17" s="10" t="s">
        <v>33</v>
      </c>
      <c r="H17" s="10" t="s">
        <v>22</v>
      </c>
      <c r="I17" s="9" t="n">
        <v>4296.7</v>
      </c>
      <c r="J17" s="11" t="n">
        <f aca="false">IF(OR(I17="",C17=""),"",(I17-C17)/C17)</f>
        <v>-0.00933782163607858</v>
      </c>
      <c r="K17" s="8" t="str">
        <f aca="false">IF(J17="","",IF(J17&gt;0,"涨",IF(J17&lt;0,"跌","平")))</f>
        <v>跌</v>
      </c>
      <c r="L17" s="8" t="str">
        <f aca="false">IF(J17="","",IF(ABS(J17)&lt;=0.003,"小",IF(ABS(J17)&lt;=0.01,"中","大")))</f>
        <v>中</v>
      </c>
      <c r="M17" s="8" t="str">
        <f aca="false">IF(OR(D17="",K17=""),"",IF(D17=K17,"√","×"))</f>
        <v>√</v>
      </c>
      <c r="N17" s="8" t="str">
        <f aca="false">IF(OR(E17="",L17=""),"",IF(E17=L17,"√","×"))</f>
        <v>√</v>
      </c>
      <c r="O17" s="10" t="s">
        <v>98</v>
      </c>
      <c r="P17" s="8" t="s">
        <v>99</v>
      </c>
      <c r="Q17" s="10" t="s">
        <v>100</v>
      </c>
      <c r="R17" s="1" t="n">
        <v>55</v>
      </c>
    </row>
    <row r="18" customFormat="false" ht="15" hidden="false" customHeight="true" outlineLevel="0" collapsed="false">
      <c r="A18" s="4" t="s">
        <v>101</v>
      </c>
      <c r="B18" s="4" t="s">
        <v>102</v>
      </c>
      <c r="C18" s="5" t="n">
        <v>4296.7</v>
      </c>
      <c r="D18" s="16" t="s">
        <v>20</v>
      </c>
      <c r="E18" s="16" t="s">
        <v>33</v>
      </c>
      <c r="F18" s="16" t="s">
        <v>20</v>
      </c>
      <c r="G18" s="16" t="s">
        <v>33</v>
      </c>
      <c r="H18" s="16" t="s">
        <v>22</v>
      </c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16" t="s">
        <v>103</v>
      </c>
      <c r="P18" s="16" t="s">
        <v>104</v>
      </c>
      <c r="Q18" s="16" t="s">
        <v>105</v>
      </c>
      <c r="R18" s="0" t="n">
        <v>55</v>
      </c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7" t="s">
        <v>106</v>
      </c>
    </row>
    <row r="3" customFormat="false" ht="15" hidden="false" customHeight="true" outlineLevel="0" collapsed="false">
      <c r="A3" s="18" t="s">
        <v>107</v>
      </c>
      <c r="B3" s="19" t="n">
        <f aca="false">COUNTIF(预测日志!M2:M1000,"√")+COUNTIF(预测日志!M2:M1000,"×")</f>
        <v>16</v>
      </c>
    </row>
    <row r="4" customFormat="false" ht="15" hidden="false" customHeight="true" outlineLevel="0" collapsed="false">
      <c r="A4" s="18" t="s">
        <v>108</v>
      </c>
      <c r="B4" s="19" t="n">
        <f aca="false">COUNTA(预测日志!A2:A1000)</f>
        <v>17</v>
      </c>
    </row>
    <row r="5" customFormat="false" ht="15" hidden="false" customHeight="true" outlineLevel="0" collapsed="false">
      <c r="A5" s="20" t="s">
        <v>109</v>
      </c>
      <c r="B5" s="21" t="n">
        <f aca="false">IFERROR(COUNTIF(预测日志!M2:M1000,"√")/B3,"-")</f>
        <v>0.5625</v>
      </c>
    </row>
    <row r="6" customFormat="false" ht="15" hidden="false" customHeight="true" outlineLevel="0" collapsed="false">
      <c r="A6" s="18" t="s">
        <v>110</v>
      </c>
      <c r="B6" s="22" t="n">
        <f aca="false">IFERROR(COUNTIF(预测日志!N2:N1000,"√")/(COUNTIF(预测日志!N2:N1000,"√")+COUNTIF(预测日志!N2:N1000,"×")),"-")</f>
        <v>0.375</v>
      </c>
    </row>
    <row r="7" customFormat="false" ht="15" hidden="false" customHeight="true" outlineLevel="0" collapsed="false">
      <c r="A7" s="20" t="s">
        <v>111</v>
      </c>
      <c r="B7" s="21" t="n">
        <f aca="true">IFERROR(COUNTIF(OFFSET(预测日志!$M$1,B3-MIN(30,B3)+1,0,MIN(30,B3),1),"√")/MIN(30,B3),"-")</f>
        <v>0.5625</v>
      </c>
    </row>
    <row r="8" customFormat="false" ht="15" hidden="false" customHeight="true" outlineLevel="0" collapsed="false">
      <c r="A8" s="18" t="s">
        <v>112</v>
      </c>
      <c r="B8" s="22" t="n">
        <f aca="true">IFERROR(COUNTIF(OFFSET(预测日志!$N$1,B3-MIN(30,B3)+1,0,MIN(30,B3),1),"√")/MIN(30,B3),"-")</f>
        <v>0.375</v>
      </c>
    </row>
    <row r="9" customFormat="false" ht="15" hidden="false" customHeight="true" outlineLevel="0" collapsed="false">
      <c r="A9" s="18" t="s">
        <v>113</v>
      </c>
      <c r="B9" s="19" t="n">
        <f aca="false">IFERROR(COUNTIFS(预测日志!O2:O1000,"趋势*",预测日志!M2:M1000,"√")/(COUNTIFS(预测日志!O2:O1000,"趋势*",预测日志!M2:M1000,"√")+COUNTIFS(预测日志!O2:O1000,"趋势*",预测日志!M2:M1000,"×")),"-")</f>
        <v>0.583333333333333</v>
      </c>
    </row>
    <row r="10" customFormat="false" ht="15" hidden="false" customHeight="true" outlineLevel="0" collapsed="false">
      <c r="A10" s="18" t="s">
        <v>114</v>
      </c>
      <c r="B10" s="19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3" t="s">
        <v>115</v>
      </c>
    </row>
    <row r="13" customFormat="false" ht="15" hidden="false" customHeight="true" outlineLevel="0" collapsed="false">
      <c r="A13" s="3" t="s">
        <v>116</v>
      </c>
      <c r="B13" s="1" t="n">
        <f aca="false">COUNT(预测日志!R2:R1000)</f>
        <v>17</v>
      </c>
    </row>
    <row r="14" customFormat="false" ht="15" hidden="false" customHeight="true" outlineLevel="0" collapsed="false">
      <c r="A14" s="3" t="s">
        <v>117</v>
      </c>
      <c r="B14" s="1" t="n">
        <f aca="false">COUNTIFS(预测日志!R2:R1000,"&gt;0",预测日志!M2:M1000,"√")+COUNTIFS(预测日志!R2:R1000,"&gt;0",预测日志!M2:M1000,"×")</f>
        <v>16</v>
      </c>
    </row>
    <row r="15" customFormat="false" ht="15" hidden="false" customHeight="true" outlineLevel="0" collapsed="false">
      <c r="A15" s="3" t="s">
        <v>118</v>
      </c>
      <c r="B15" s="1" t="s">
        <v>119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4" t="s">
        <v>120</v>
      </c>
    </row>
    <row r="3" customFormat="false" ht="15" hidden="false" customHeight="true" outlineLevel="0" collapsed="false">
      <c r="A3" s="25" t="s">
        <v>121</v>
      </c>
      <c r="B3" s="26" t="s">
        <v>122</v>
      </c>
    </row>
    <row r="4" customFormat="false" ht="15" hidden="false" customHeight="true" outlineLevel="0" collapsed="false">
      <c r="A4" s="25" t="s">
        <v>123</v>
      </c>
      <c r="B4" s="26" t="s">
        <v>124</v>
      </c>
    </row>
    <row r="5" customFormat="false" ht="15" hidden="false" customHeight="true" outlineLevel="0" collapsed="false">
      <c r="A5" s="25" t="s">
        <v>125</v>
      </c>
      <c r="B5" s="26" t="s">
        <v>126</v>
      </c>
    </row>
    <row r="6" customFormat="false" ht="15" hidden="false" customHeight="true" outlineLevel="0" collapsed="false">
      <c r="A6" s="25" t="s">
        <v>127</v>
      </c>
      <c r="B6" s="26" t="s">
        <v>128</v>
      </c>
    </row>
    <row r="7" customFormat="false" ht="15" hidden="false" customHeight="true" outlineLevel="0" collapsed="false">
      <c r="A7" s="25" t="s">
        <v>129</v>
      </c>
      <c r="B7" s="26" t="s">
        <v>130</v>
      </c>
    </row>
    <row r="8" customFormat="false" ht="15" hidden="false" customHeight="true" outlineLevel="0" collapsed="false">
      <c r="A8" s="25" t="s">
        <v>7</v>
      </c>
      <c r="B8" s="26" t="s">
        <v>131</v>
      </c>
    </row>
    <row r="9" customFormat="false" ht="15" hidden="false" customHeight="true" outlineLevel="0" collapsed="false">
      <c r="A9" s="25" t="s">
        <v>14</v>
      </c>
      <c r="B9" s="26" t="s">
        <v>132</v>
      </c>
    </row>
    <row r="10" customFormat="false" ht="15" hidden="false" customHeight="true" outlineLevel="0" collapsed="false">
      <c r="A10" s="25" t="s">
        <v>133</v>
      </c>
      <c r="B10" s="27" t="s">
        <v>134</v>
      </c>
    </row>
    <row r="11" customFormat="false" ht="15" hidden="false" customHeight="true" outlineLevel="0" collapsed="false">
      <c r="A11" s="25" t="s">
        <v>135</v>
      </c>
      <c r="B11" s="26" t="s">
        <v>136</v>
      </c>
    </row>
    <row r="12" customFormat="false" ht="15" hidden="false" customHeight="true" outlineLevel="0" collapsed="false">
      <c r="A12" s="25" t="s">
        <v>137</v>
      </c>
      <c r="B12" s="27" t="s">
        <v>138</v>
      </c>
    </row>
    <row r="13" customFormat="false" ht="15" hidden="false" customHeight="true" outlineLevel="0" collapsed="false">
      <c r="A13" s="3" t="s">
        <v>17</v>
      </c>
      <c r="B13" s="3" t="s">
        <v>139</v>
      </c>
    </row>
    <row r="14" customFormat="false" ht="15" hidden="false" customHeight="true" outlineLevel="0" collapsed="false">
      <c r="A14" s="3" t="s">
        <v>140</v>
      </c>
      <c r="B14" s="3" t="s">
        <v>141</v>
      </c>
    </row>
    <row r="15" customFormat="false" ht="15" hidden="false" customHeight="true" outlineLevel="0" collapsed="false">
      <c r="A15" s="3" t="s">
        <v>142</v>
      </c>
      <c r="B15" s="1" t="s">
        <v>143</v>
      </c>
    </row>
    <row r="16" customFormat="false" ht="15" hidden="false" customHeight="true" outlineLevel="0" collapsed="false">
      <c r="A16" s="3" t="s">
        <v>144</v>
      </c>
      <c r="B16" s="3" t="s">
        <v>145</v>
      </c>
    </row>
    <row r="17" customFormat="false" ht="15" hidden="false" customHeight="true" outlineLevel="0" collapsed="false">
      <c r="A17" s="3" t="s">
        <v>146</v>
      </c>
      <c r="B17" s="3" t="s">
        <v>147</v>
      </c>
    </row>
    <row r="18" customFormat="false" ht="15" hidden="false" customHeight="true" outlineLevel="0" collapsed="false">
      <c r="A18" s="3" t="s">
        <v>148</v>
      </c>
      <c r="B18" s="3" t="s">
        <v>149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2026-09-14T22:40:32Z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