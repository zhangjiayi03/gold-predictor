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<sst xmlns="http://schemas.openxmlformats.org/spreadsheetml/2006/main" count="333" uniqueCount="199">
  <si>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</si>
  <si>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</si>
  <si>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</si>
  <si>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</si>
  <si>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</si>
  <si>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</si>
  <si>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</si>
  <si>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</si>
  <si>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</si>
  <si>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</si>
  <si>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</si>
  <si>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</si>
  <si>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</si>
  <si>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</si>
  <si>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</si>
  <si>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</si>
  <si>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</si>
  <si>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</si>
  <si>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</si>
  <si>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</si>
  <si>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</si>
  <si>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</si>
  <si>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</si>
  <si>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</si>
  <si>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</si>
  <si>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</si>
  <si>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</si>
  <si>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</si>
  <si>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</si>
  <si>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</si>
  <si>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</si>
  <si>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</si>
  <si>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</si>
  <si>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</si>
  <si>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</si>
  <si>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</si>
  <si>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</si>
  <si>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</si>
  <si>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</si>
  <si>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</si>
  <si>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</si>
  <si>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</si>
  <si>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</si>
  <si>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</si>
  <si>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</si>
  <si>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</si>
  <si>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</si>
  <si>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</si>
  <si>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</si>
  <si>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</si>
  <si>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</si>
  <si>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</si>
  <si>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</si>
  <si>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</si>
  <si>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</si>
  <si>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</si>
  <si>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</si>
  <si>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</si>
  <si>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</si>
  <si>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</si>
  <si>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</si>
  <si>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</si>
  <si>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</si>
  <si>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</si>
  <si>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</si>
  <si>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</si>
  <si>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</si>
  <si>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</si>
  <si>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</si>
  <si>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</si>
  <si>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</si>
  <si>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</si>
  <si>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</si>
  <si>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</si>
  <si>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</si>
  <si>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</si>
  <si>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</si>
  <si>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</si>
  <si>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</si>
  <si>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</si>
  <si>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</si>
  <si>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</si>
  <si>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</si>
  <si>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</si>
  <si>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</si>
  <si>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</si>
  <si>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</si>
  <si>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</si>
  <si>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</si>
  <si>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</si>
  <si>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</si>
  <si>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</si>
  <si>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</si>
  <si>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</si>
  <si>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</si>
  <si>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</si>
  <si>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</si>
  <si>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</si>
  <si>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</si>
  <si>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</si>
  <si>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</si>
  <si>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</si>
  <si>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</si>
  <si>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</si>
  <si>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</si>
  <si>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</si>
  <si>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</si>
  <si>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</si>
  <si>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</si>
  <si>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</si>
  <si>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</si>
  <si>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</si>
  <si>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</si>
  <si>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</si>
  <si>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</si>
  <si>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</si>
  <si>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</si>
  <si>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</si>
  <si>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</si>
  <si>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</si>
  <si>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</si>
  <si>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</si>
  <si>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</si>
  <si>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t xml:space="preserve">趋势跌(20日-3.01%·窗口滚动由震荡翻空)·60日+6.78%长期涨vs10日-1.52%短期修复背离·FOMC鹰派落地后第3交易日</t>
  </si>
  <si>
    <t xml:space="preserve">周五午后冲$4,396.9遭$4,380-4,400阻力带打回收$4,379+周一平开$4,377.5无追涨[未释放]+VIX三连降至14.81避险退潮[部分定价]+20日窗口滚动翻趋势跌-3.01%+点阵图16/18年内再加息余波[已定价] vs 央行连购22个月与地缘尾部垫底[未释放]</t>
  </si>
  <si>
    <t xml:space="preserve">周一06:53晨间定时执行成功(克隆仓库版)；方向押跌+档位押中:阻力带供给周五实测确认+平开无追涨+避险退潮+市况翻趋势跌,两连涨窗口后回吐;校准达标20/20(校准良好+4.0pp偏保守,Brier 0.2440),冻结期已满,三条待改项待用户定夺,本判断沿用冻结前规则</t>
  </si>
  <si>
    <t xml:space="preserve">2026-09-22</t>
  </si>
  <si>
    <t xml:space="preserve">2026-09-22 06:35</t>
  </si>
  <si>
    <t xml:space="preserve">趋势跌(20日-3.01%)·60日+6.78%长期涨vs短期反弹回吐1/3背离·FOMC鹰派落地后第4交易日</t>
  </si>
  <si>
    <t xml:space="preserve">昨收$4,353.9贴$4,348定盘支撑边缘惯性[部分定价]+通胀热数据强化年内再加息预期·美元一个月高位·10Y~4.96%[已定价]+CFTC/ETF投机持仓双降[未释放]+VIX三连降14.81避险退潮[部分定价] vs 央行连购22个月(中国8月+20.2t、波兰Q2+51t)与$4,348技术承接[未释放]</t>
  </si>
  <si>
    <t xml:space="preserve">周二06:35晨间定时执行成功(克隆仓库版);方向押跌+档位押中:支撑边缘惯性+加息预期边际强化+投机离场+卖压叙事主导,两连√后不机械连押亦不因连对加码;校准21/20达标偏保守+6.0pp(Brier 0.2420),冻结期已满,三条待改项待用户定夺,本判断沿用冻结前规则</t>
  </si>
  <si>
    <t xml:space="preserve">2026-09-23</t>
  </si>
  <si>
    <t xml:space="preserve">2026-09-23 06:40</t>
  </si>
  <si>
    <t xml:space="preserve">趋势跌(20日-5.63%·窗口滚动纳入8/21高基数)·60日+7.40%长期涨vs10日-1.78%短期整理背离·FOMC鹰派落地后第5交易日·隔夜深V回补次日</t>
  </si>
  <si>
    <t xml:space="preserve">隔夜V型吸收(下探$4,314.8创两周新低却以$4,364.7更高收盘+0.25%,连续两窗美盘强势回补)[未释放]+央行连购22个月(7月+20t,波兰Q2+51t)与$4,310-4,334双底承接[未释放]+鹰派钝化(加息落地+点阵图已定价,美元/收益率企稳)[已定价] vs $4,380-4,400阻力带两度实测有效[部分定价]+CFTC/ETF投机持仓续降+VIX14.87避险退潮[部分定价]+今窗Fedspeak/PMI偏鹰风险[未释放]→押区间承托的小幅续涨,上沿$4,378为分水岭</t>
  </si>
  <si>
    <t xml:space="preserve">周三06:40晨间定时执行成功(克隆仓库版);9/22结算××(押跌/中vs实际+0.25%涨/小,午后-0.91%在轨被美盘V型回补逆转)后方向转涨:非追结果——独立新证据=更低下探$4,314.8却更高收盘的卖压吸收形态+美元/收益率由续升转企稳;幅度押小:动能衰减(近2窗|-0.54%|→|+0.25%|递减)+事件真空(FOMC已落地,耐用品周五/PCE9/30)+双向关键位距现价&lt;0.4%区间收敛;校准22/20达标校准良好(+3.2pp在±5pp容忍带,Brier0.2448),冻结期已满,三条待改项待用户定夺,本判断沿用冻结前规则</t>
  </si>
  <si>
    <t xml:space="preserve">2026-09-24</t>
  </si>
  <si>
    <t xml:space="preserve">2026-09-24 06:35</t>
  </si>
  <si>
    <t xml:space="preserve">趋势跌(20日-7.16%连续第3日加深)·60日+7.4%长期涨vs10日LBMA-1.58%短期续弱背离·FOMC鹰派落地后第6交易日·昨日破位大阴线次日</t>
  </si>
  <si>
    <t xml:space="preserve">昨日破位大阴线-1.72%(跌穿$4,314.8双底颈线+50%回撤$4,314.66+$4,300整数关,收$4,289.60,场景D兑现)[部分定价]+20日趋势跌加深至-7.16%顺势[已定价]+鹰派加息预期(点阵图16/18年内再加息+PPI/CPI热)美元一个月高位·10Y~4.96%压制[已定价]+VIX四连降至14.21避险溢价归零[部分定价]+CFTC/ETF投机持仓降至2019年中低位[未释放] vs $4,265-4,267三重底(9/14 LBMA/9/18现货/9/23亚市)与央行逢低承接(PBOC 21连月+波兰Q2+51t)[未释放]+昨日sub-$4,300现goodish反弹买盘[未释放]+9/8起8窗口涨跌严格交替[未释放]→押顺势低位阴跌收$4,262-4,276,$4,265为存亡线、$4,314.66为反压确认线</t>
  </si>
  <si>
    <t xml:space="preserve">周四06:32晨间定时执行成功(克隆仓库版);9/23结算××(押涨/小vs实际-1.72%跌/大,场景D兑现且更深)后方向顺势转跌:非追结果——独立依据=破位结构($4,310-4,334三重支撑带单日全数跌穿+隔夜贴$4,289低位横盘无反抽)+趋势标签-7.16%连续加深;幅度押中:破位惯性+20日日均波幅0.99%但$4,265三重底近在-0.5%+央行承接封深跌;校准23/20达标校准良好+0.7pp(Brier0.2473),冻结期已满,三条待改项待用户定夺,本判断沿用冻结前规则;本沙盒无recalc.py,已用soffice重算log.xlsx公式</t>
  </si>
  <si>
    <t xml:space="preserve">2026-09-25</t>
  </si>
  <si>
    <t xml:space="preserve">2026-09-25 06:38</t>
  </si>
  <si>
    <t xml:space="preserve">趋势跌(20日-7.17%连续第4日深位)·60日+7.3%长期涨vs10日LBMA-2.32%短期续弱背离·FOMC鹰派落地后第7交易日·三重底$4,265-4,267上沿压缩待变(-0.15%)·耐用品订单+密歇根终值日</t>
  </si>
  <si>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日趋势跌</t>
    </r>
    <r>
      <rPr>
        <sz val="11"/>
        <color rgb="FF000000"/>
        <rFont val="Calibri"/>
        <family val="2"/>
        <charset val="1"/>
      </rPr>
      <t xml:space="preserve">-7.17%</t>
    </r>
    <r>
      <rPr>
        <sz val="11"/>
        <color rgb="FF000000"/>
        <rFont val="Noto Sans CJK SC"/>
        <family val="2"/>
      </rPr>
      <t xml:space="preserve">连续深位顺势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破位结构未修复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未收复</t>
    </r>
    <r>
      <rPr>
        <sz val="11"/>
        <color rgb="FF000000"/>
        <rFont val="Calibri"/>
        <family val="2"/>
        <charset val="1"/>
      </rPr>
      <t xml:space="preserve">$4,300/$4,314.66</t>
    </r>
    <r>
      <rPr>
        <sz val="11"/>
        <color rgb="FF000000"/>
        <rFont val="Noto Sans CJK SC"/>
        <family val="2"/>
      </rPr>
      <t xml:space="preserve">反压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隔夜横盘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鹰派延续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  <r>
      <rPr>
        <sz val="11"/>
        <color rgb="FF000000"/>
        <rFont val="Calibri"/>
        <family val="2"/>
        <charset val="1"/>
      </rPr>
      <t xml:space="preserve">+PPI/CPI</t>
    </r>
    <r>
      <rPr>
        <sz val="11"/>
        <color rgb="FF000000"/>
        <rFont val="Noto Sans CJK SC"/>
        <family val="2"/>
      </rPr>
      <t xml:space="preserve">热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·10Y~4.96%[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四连降</t>
    </r>
    <r>
      <rPr>
        <sz val="11"/>
        <color rgb="FF000000"/>
        <rFont val="Calibri"/>
        <family val="2"/>
        <charset val="1"/>
      </rPr>
      <t xml:space="preserve">14.21</t>
    </r>
    <r>
      <rPr>
        <sz val="11"/>
        <color rgb="FF000000"/>
        <rFont val="Noto Sans CJK SC"/>
        <family val="2"/>
      </rPr>
      <t xml:space="preserve">避险溢价归零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技术指标全线偏空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Noto Sans CJK SC"/>
        <family val="2"/>
      </rPr>
      <t xml:space="preserve">日均线</t>
    </r>
    <r>
      <rPr>
        <sz val="11"/>
        <color rgb="FF000000"/>
        <rFont val="Calibri"/>
        <family val="2"/>
        <charset val="1"/>
      </rPr>
      <t xml:space="preserve">~$4,369</t>
    </r>
    <r>
      <rPr>
        <sz val="11"/>
        <color rgb="FF000000"/>
        <rFont val="Noto Sans CJK SC"/>
        <family val="2"/>
      </rPr>
      <t xml:space="preserve">封盖</t>
    </r>
    <r>
      <rPr>
        <sz val="11"/>
        <color rgb="FF000000"/>
        <rFont val="Calibri"/>
        <family val="2"/>
        <charset val="1"/>
      </rPr>
      <t xml:space="preserve">+MACD</t>
    </r>
    <r>
      <rPr>
        <sz val="11"/>
        <color rgb="FF000000"/>
        <rFont val="Noto Sans CJK SC"/>
        <family val="2"/>
      </rPr>
      <t xml:space="preserve">负</t>
    </r>
    <r>
      <rPr>
        <sz val="11"/>
        <color rgb="FF000000"/>
        <rFont val="Calibri"/>
        <family val="2"/>
        <charset val="1"/>
      </rPr>
      <t xml:space="preserve">+RSI 36.5-44.6)[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今晚耐用品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密歇根若偏热点火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$4,265-4,267</t>
    </r>
    <r>
      <rPr>
        <sz val="11"/>
        <color rgb="FF000000"/>
        <rFont val="Noto Sans CJK SC"/>
        <family val="2"/>
      </rPr>
      <t xml:space="preserve">三重底第四次防守</t>
    </r>
    <r>
      <rPr>
        <sz val="11"/>
        <color rgb="FF000000"/>
        <rFont val="Calibri"/>
        <family val="2"/>
        <charset val="1"/>
      </rPr>
      <t xml:space="preserve">(9/14/9/18/9/24</t>
    </r>
    <r>
      <rPr>
        <sz val="11"/>
        <color rgb="FF000000"/>
        <rFont val="Noto Sans CJK SC"/>
        <family val="2"/>
      </rPr>
      <t xml:space="preserve">三守成功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央行承接</t>
    </r>
    <r>
      <rPr>
        <sz val="11"/>
        <color rgb="FF000000"/>
        <rFont val="Calibri"/>
        <family val="2"/>
        <charset val="1"/>
      </rPr>
      <t xml:space="preserve">(PBOC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</t>
    </r>
    <r>
      <rPr>
        <sz val="11"/>
        <color rgb="FF000000"/>
        <rFont val="Noto Sans CJK SC"/>
        <family val="2"/>
      </rPr>
      <t xml:space="preserve">创纪录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波兰</t>
    </r>
    <r>
      <rPr>
        <sz val="11"/>
        <color rgb="FF000000"/>
        <rFont val="Calibri"/>
        <family val="2"/>
        <charset val="1"/>
      </rPr>
      <t xml:space="preserve">Q2+51t,</t>
    </r>
    <r>
      <rPr>
        <sz val="11"/>
        <color rgb="FF000000"/>
        <rFont val="Noto Sans CJK SC"/>
        <family val="2"/>
      </rPr>
      <t xml:space="preserve">逢低买入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]+CCI-262</t>
    </r>
    <r>
      <rPr>
        <sz val="11"/>
        <color rgb="FF000000"/>
        <rFont val="Noto Sans CJK SC"/>
        <family val="2"/>
      </rPr>
      <t xml:space="preserve">超卖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(-1.72%→-0.39%→</t>
    </r>
    <r>
      <rPr>
        <sz val="11"/>
        <color rgb="FF000000"/>
        <rFont val="Noto Sans CJK SC"/>
        <family val="2"/>
      </rPr>
      <t xml:space="preserve">隔夜平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投机持仓</t>
    </r>
    <r>
      <rPr>
        <sz val="11"/>
        <color rgb="FF000000"/>
        <rFont val="Calibri"/>
        <family val="2"/>
        <charset val="1"/>
      </rPr>
      <t xml:space="preserve">2019</t>
    </r>
    <r>
      <rPr>
        <sz val="11"/>
        <color rgb="FF000000"/>
        <rFont val="Noto Sans CJK SC"/>
        <family val="2"/>
      </rPr>
      <t xml:space="preserve">年中低位抛压衰竭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周五空头回补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押顺势压缩后向下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止损延伸至</t>
    </r>
    <r>
      <rPr>
        <sz val="11"/>
        <color rgb="FF000000"/>
        <rFont val="Calibri"/>
        <family val="2"/>
        <charset val="1"/>
      </rPr>
      <t xml:space="preserve">$4,240-4,262(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三重底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央行承接封深跌不押大</t>
    </r>
    <r>
      <rPr>
        <sz val="11"/>
        <color rgb="FF000000"/>
        <rFont val="Calibri"/>
        <family val="2"/>
        <charset val="1"/>
      </rPr>
      <t xml:space="preserve">,$4,314.66</t>
    </r>
    <r>
      <rPr>
        <sz val="11"/>
        <color rgb="FF000000"/>
        <rFont val="Noto Sans CJK SC"/>
        <family val="2"/>
      </rPr>
      <t xml:space="preserve">为翻多确认线</t>
    </r>
  </si>
  <si>
    <t xml:space="preserve">周五06:31晨间定时执行成功(克隆仓库版);昨日9/24√√(押跌/中vs实际-0.39%跌/中,三重底三守成功)后方向档位维持顺势非追结果——独立依据=趋势标签-7.17%深位未变+破位反压$4,314.66未收复+鹰派组合延续;动能衰减+现价距三重底仅-0.15%封深跌故押中不押大(冻结前规则:动能衰减强信号优先中/小档);校准24/20达标良好+2.5pp(Brier0.2454),冻结期已满,三条待改项仍待用户定夺;本沙盒无recalc.py,已用soffice重算log.xlsx公式</t>
  </si>
  <si>
    <t xml:space="preserve">2026-09-28</t>
  </si>
  <si>
    <t xml:space="preserve">2026-09-28 06:35</t>
  </si>
  <si>
    <t xml:space="preserve">趋势跌(20日-6.74%连续第5日深位)·60日+2.33%长期涨动能钝化vs10日LBMA-2.85%短期续弱背离·FOMC鹰派落地后第8交易日·周一跳空低开-0.43%贴三重底$4,265-4,267(第五测)·PCE周三窗外今窗无重大事件</t>
  </si>
  <si>
    <t xml:space="preserve">周一跳空低开-0.43%贴三重底$4,265-4,267(第五测)[未释放]+20日趋势跌-6.74%第5日深位(LBMA定盘三连降至$4,261.05破名义区)[已定价]+破位结构未修复(距$4,300/-0.76%·$4,314.66反压/-1.1%)[部分定价]+鹰派延续(点阵图16/18年内再加息+美元一个月高位·10Y~4.96%)[已定价]+VIX14.87避险溢价归零[部分定价] vs 三重底前四守成功+周五美盘$4,254→$4,286买盘验证[未释放]+PBOC 22连月(8月+20.2t创纪录,波兰Q2+51t)逢低承接[未释放]+CFTC/ETF持仓2019年中低位抛压衰竭[未释放]+动能衰减(近3窗-1.72%→-0.39%→+0.30%)[未释放]→押顺势阴跌:破$4,265止损延伸$4,238-4,255(中档),央行承接+超卖封深跌不押大,PCE周三前波动收敛</t>
  </si>
  <si>
    <t xml:space="preserve">周一06:31晨间定时执行成功(克隆仓库版);周末后跳空低开贴三重底,方向押跌+档位押中:趋势标签-6.74%深位+破位未修复+鹰派组合延续,非追结果式——独立依据=周一跳空低开-0.43%回吐周五美盘全部反弹+LBMA定盘三连降至$4,261.05破三重底名义区(新变化);动能衰减(近3窗-1.72%→-0.39%→+0.30%)+PCE周三前收敛→押中不押大(冻结前规则:动能衰减优先中/小档);校准25/20达标良好+0.2pp(Brier0.2477),冻结期已满,三条待改项仍待用户定夺,本判断沿用冻结前规则;本沙盒无recalc.py,已用soffice重算log.xlsx公式</t>
  </si>
  <si>
    <t xml:space="preserve">2026-09-29</t>
  </si>
  <si>
    <t xml:space="preserve">2026-09-29 06:38</t>
  </si>
  <si>
    <t xml:space="preserve">趋势跌（20日-6.74%·LBMA口径未含昨-3.31%·现货约-9.9%本轮最深）·长期涨钝化vs短期深跌背离·昨破位大阴后首日</t>
  </si>
  <si>
    <t xml:space="preserve">破位惯性+美元强+Fed年内再加息预期压顶 vs 昨-3.31%超卖+地缘避险+央行购金承接；主路径惯性阴跌中档</t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</si>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</sst>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0%"/>
    <numFmt numFmtId="167" formatCode="yyyy\-mm\-dd"/>
    <numFmt numFmtId="168" formatCode="General"/>
    <numFmt numFmtId="169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6" t="s">
        <v>44</v>
      </c>
      <c r="E22" s="6" t="s">
        <v>33</v>
      </c>
      <c r="F22" s="6" t="s">
        <v>44</v>
      </c>
      <c r="G22" s="6" t="s">
        <v>33</v>
      </c>
      <c r="H22" s="6" t="s">
        <v>22</v>
      </c>
      <c r="I22" s="5" t="n">
        <v>4353.9</v>
      </c>
      <c r="J22" s="7" t="n">
        <f aca="false">IF(OR(I22="",C22=""),"",(I22-C22)/C22)</f>
        <v>-0.00539120502569968</v>
      </c>
      <c r="K22" s="4" t="str">
        <f aca="false">IF(J22="","",IF(J22&gt;0,"涨",IF(J22&lt;0,"跌","平")))</f>
        <v>跌</v>
      </c>
      <c r="L22" s="4" t="str">
        <f aca="false">IF(J22="","",IF(ABS(J22)&lt;=0.003,"小",IF(ABS(J22)&lt;=0.01,"中","大")))</f>
        <v>中</v>
      </c>
      <c r="M22" s="4" t="str">
        <f aca="false">IF(OR(D22="",K22=""),"",IF(D22=K22,"√","×"))</f>
        <v>√</v>
      </c>
      <c r="N22" s="4" t="str">
        <f aca="false">IF(OR(E22="",L22=""),"",IF(E22=L22,"√","×"))</f>
        <v>√</v>
      </c>
      <c r="O22" s="6" t="s">
        <v>123</v>
      </c>
      <c r="P22" s="6" t="s">
        <v>124</v>
      </c>
      <c r="Q22" s="6" t="s">
        <v>125</v>
      </c>
      <c r="R22" s="1" t="n">
        <v>55</v>
      </c>
    </row>
    <row r="23" customFormat="false" ht="15" hidden="false" customHeight="true" outlineLevel="0" collapsed="false">
      <c r="A23" s="8" t="s">
        <v>126</v>
      </c>
      <c r="B23" s="8" t="s">
        <v>127</v>
      </c>
      <c r="C23" s="9" t="n">
        <v>4353.9</v>
      </c>
      <c r="D23" s="10" t="s">
        <v>44</v>
      </c>
      <c r="E23" s="10" t="s">
        <v>33</v>
      </c>
      <c r="F23" s="10" t="s">
        <v>44</v>
      </c>
      <c r="G23" s="10" t="s">
        <v>33</v>
      </c>
      <c r="H23" s="10" t="s">
        <v>22</v>
      </c>
      <c r="I23" s="9" t="n">
        <v>4364.7</v>
      </c>
      <c r="J23" s="11" t="n">
        <f aca="false">IF(OR(I23="",C23=""),"",(I23-C23)/C23)</f>
        <v>0.00248053469303387</v>
      </c>
      <c r="K23" s="8" t="str">
        <f aca="false">IF(J23="","",IF(J23&gt;0,"涨",IF(J23&lt;0,"跌","平")))</f>
        <v>涨</v>
      </c>
      <c r="L23" s="8" t="str">
        <f aca="false">IF(J23="","",IF(ABS(J23)&lt;=0.003,"小",IF(ABS(J23)&lt;=0.01,"中","大")))</f>
        <v>小</v>
      </c>
      <c r="M23" s="8" t="str">
        <f aca="false">IF(OR(D23="",K23=""),"",IF(D23=K23,"√","×"))</f>
        <v>×</v>
      </c>
      <c r="N23" s="8" t="str">
        <f aca="false">IF(OR(E23="",L23=""),"",IF(E23=L23,"√","×"))</f>
        <v>×</v>
      </c>
      <c r="O23" s="10" t="s">
        <v>128</v>
      </c>
      <c r="P23" s="10" t="s">
        <v>129</v>
      </c>
      <c r="Q23" s="10" t="s">
        <v>130</v>
      </c>
      <c r="R23" s="1" t="n">
        <v>55</v>
      </c>
    </row>
    <row r="24" customFormat="false" ht="15" hidden="false" customHeight="true" outlineLevel="0" collapsed="false">
      <c r="A24" s="4" t="s">
        <v>131</v>
      </c>
      <c r="B24" s="4" t="s">
        <v>132</v>
      </c>
      <c r="C24" s="5" t="n">
        <v>4364.7</v>
      </c>
      <c r="D24" s="6" t="s">
        <v>20</v>
      </c>
      <c r="E24" s="6" t="s">
        <v>38</v>
      </c>
      <c r="F24" s="6" t="s">
        <v>20</v>
      </c>
      <c r="G24" s="6" t="s">
        <v>38</v>
      </c>
      <c r="H24" s="6" t="s">
        <v>22</v>
      </c>
      <c r="I24" s="5" t="n">
        <v>4289.6</v>
      </c>
      <c r="J24" s="7" t="n">
        <f aca="false">IF(OR(I24="",C24=""),"",(I24-C24)/C24)</f>
        <v>-0.0172062226498956</v>
      </c>
      <c r="K24" s="4" t="str">
        <f aca="false">IF(J24="","",IF(J24&gt;0,"涨",IF(J24&lt;0,"跌","平")))</f>
        <v>跌</v>
      </c>
      <c r="L24" s="4" t="str">
        <f aca="false">IF(J24="","",IF(ABS(J24)&lt;=0.003,"小",IF(ABS(J24)&lt;=0.01,"中","大")))</f>
        <v>大</v>
      </c>
      <c r="M24" s="4" t="str">
        <f aca="false">IF(OR(D24="",K24=""),"",IF(D24=K24,"√","×"))</f>
        <v>×</v>
      </c>
      <c r="N24" s="4" t="str">
        <f aca="false">IF(OR(E24="",L24=""),"",IF(E24=L24,"√","×"))</f>
        <v>×</v>
      </c>
      <c r="O24" s="6" t="s">
        <v>133</v>
      </c>
      <c r="P24" s="6" t="s">
        <v>134</v>
      </c>
      <c r="Q24" s="6" t="s">
        <v>135</v>
      </c>
      <c r="R24" s="1" t="n">
        <v>55</v>
      </c>
    </row>
    <row r="25" customFormat="false" ht="15" hidden="false" customHeight="true" outlineLevel="0" collapsed="false">
      <c r="A25" s="8" t="s">
        <v>136</v>
      </c>
      <c r="B25" s="8" t="s">
        <v>137</v>
      </c>
      <c r="C25" s="9" t="n">
        <v>4289.1</v>
      </c>
      <c r="D25" s="10" t="s">
        <v>44</v>
      </c>
      <c r="E25" s="10" t="s">
        <v>33</v>
      </c>
      <c r="F25" s="10" t="s">
        <v>44</v>
      </c>
      <c r="G25" s="10" t="s">
        <v>33</v>
      </c>
      <c r="H25" s="10" t="s">
        <v>22</v>
      </c>
      <c r="I25" s="9" t="n">
        <v>4272.2</v>
      </c>
      <c r="J25" s="11" t="n">
        <f aca="false">IF(OR(I25="",C25=""),"",(I25-C25)/C25)</f>
        <v>-0.00394022055909178</v>
      </c>
      <c r="K25" s="8" t="str">
        <f aca="false">IF(J25="","",IF(J25&gt;0,"涨",IF(J25&lt;0,"跌","平")))</f>
        <v>跌</v>
      </c>
      <c r="L25" s="8" t="str">
        <f aca="false">IF(J25="","",IF(ABS(J25)&lt;=0.003,"小",IF(ABS(J25)&lt;=0.01,"中","大")))</f>
        <v>中</v>
      </c>
      <c r="M25" s="8" t="str">
        <f aca="false">IF(OR(D25="",K25=""),"",IF(D25=K25,"√","×"))</f>
        <v>√</v>
      </c>
      <c r="N25" s="8" t="str">
        <f aca="false">IF(OR(E25="",L25=""),"",IF(E25=L25,"√","×"))</f>
        <v>√</v>
      </c>
      <c r="O25" s="10" t="s">
        <v>138</v>
      </c>
      <c r="P25" s="10" t="s">
        <v>139</v>
      </c>
      <c r="Q25" s="10" t="s">
        <v>140</v>
      </c>
      <c r="R25" s="1" t="n">
        <v>55</v>
      </c>
    </row>
    <row r="26" customFormat="false" ht="15" hidden="false" customHeight="true" outlineLevel="0" collapsed="false">
      <c r="A26" s="4" t="s">
        <v>141</v>
      </c>
      <c r="B26" s="4" t="s">
        <v>142</v>
      </c>
      <c r="C26" s="5" t="n">
        <v>4273.2</v>
      </c>
      <c r="D26" s="6" t="s">
        <v>44</v>
      </c>
      <c r="E26" s="6" t="s">
        <v>33</v>
      </c>
      <c r="F26" s="6" t="s">
        <v>44</v>
      </c>
      <c r="G26" s="6" t="s">
        <v>33</v>
      </c>
      <c r="H26" s="6" t="s">
        <v>22</v>
      </c>
      <c r="I26" s="5" t="n">
        <v>4286.2</v>
      </c>
      <c r="J26" s="7" t="n">
        <f aca="false">IF(OR(I26="",C26=""),"",(I26-C26)/C26)</f>
        <v>0.00304221660582233</v>
      </c>
      <c r="K26" s="4" t="str">
        <f aca="false">IF(J26="","",IF(J26&gt;0,"涨",IF(J26&lt;0,"跌","平")))</f>
        <v>涨</v>
      </c>
      <c r="L26" s="4" t="str">
        <f aca="false">IF(J26="","",IF(ABS(J26)&lt;=0.003,"小",IF(ABS(J26)&lt;=0.01,"中","大")))</f>
        <v>中</v>
      </c>
      <c r="M26" s="4" t="str">
        <f aca="false">IF(OR(D26="",K26=""),"",IF(D26=K26,"√","×"))</f>
        <v>×</v>
      </c>
      <c r="N26" s="4" t="str">
        <f aca="false">IF(OR(E26="",L26=""),"",IF(E26=L26,"√","×"))</f>
        <v>√</v>
      </c>
      <c r="O26" s="6" t="s">
        <v>143</v>
      </c>
      <c r="P26" s="4" t="s">
        <v>144</v>
      </c>
      <c r="Q26" s="6" t="s">
        <v>145</v>
      </c>
      <c r="R26" s="1" t="n">
        <v>55</v>
      </c>
    </row>
    <row r="27" customFormat="false" ht="15" hidden="false" customHeight="true" outlineLevel="0" collapsed="false">
      <c r="A27" s="8" t="s">
        <v>146</v>
      </c>
      <c r="B27" s="8" t="s">
        <v>147</v>
      </c>
      <c r="C27" s="9" t="n">
        <v>4267.8</v>
      </c>
      <c r="D27" s="10" t="s">
        <v>44</v>
      </c>
      <c r="E27" s="10" t="s">
        <v>33</v>
      </c>
      <c r="F27" s="10" t="s">
        <v>44</v>
      </c>
      <c r="G27" s="10" t="s">
        <v>33</v>
      </c>
      <c r="H27" s="10" t="s">
        <v>22</v>
      </c>
      <c r="I27" s="9" t="n">
        <v>4126.5</v>
      </c>
      <c r="J27" s="11" t="n">
        <f aca="false">IF(OR(I27="",C27=""),"",(I27-C27)/C27)</f>
        <v>-0.0331083930830873</v>
      </c>
      <c r="K27" s="8" t="str">
        <f aca="false">IF(J27="","",IF(J27&gt;0,"涨",IF(J27&lt;0,"跌","平")))</f>
        <v>跌</v>
      </c>
      <c r="L27" s="8" t="str">
        <f aca="false">IF(J27="","",IF(ABS(J27)&lt;=0.003,"小",IF(ABS(J27)&lt;=0.01,"中","大")))</f>
        <v>大</v>
      </c>
      <c r="M27" s="8" t="str">
        <f aca="false">IF(OR(D27="",K27=""),"",IF(D27=K27,"√","×"))</f>
        <v>√</v>
      </c>
      <c r="N27" s="8" t="str">
        <f aca="false">IF(OR(E27="",L27=""),"",IF(E27=L27,"√","×"))</f>
        <v>×</v>
      </c>
      <c r="O27" s="10" t="s">
        <v>148</v>
      </c>
      <c r="P27" s="10" t="s">
        <v>149</v>
      </c>
      <c r="Q27" s="10" t="s">
        <v>150</v>
      </c>
      <c r="R27" s="1" t="n">
        <v>55</v>
      </c>
    </row>
    <row r="28" customFormat="false" ht="15" hidden="false" customHeight="true" outlineLevel="0" collapsed="false">
      <c r="A28" s="16" t="s">
        <v>151</v>
      </c>
      <c r="B28" s="4" t="s">
        <v>152</v>
      </c>
      <c r="C28" s="5" t="n">
        <v>4122.8</v>
      </c>
      <c r="D28" s="6" t="s">
        <v>44</v>
      </c>
      <c r="E28" s="6" t="s">
        <v>33</v>
      </c>
      <c r="F28" s="6" t="s">
        <v>44</v>
      </c>
      <c r="G28" s="6" t="s">
        <v>33</v>
      </c>
      <c r="H28" s="6" t="s">
        <v>22</v>
      </c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6" t="s">
        <v>153</v>
      </c>
      <c r="P28" s="6" t="s">
        <v>154</v>
      </c>
      <c r="Q28" s="4"/>
      <c r="R28" s="1" t="n">
        <v>55</v>
      </c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155</v>
      </c>
    </row>
    <row r="3" customFormat="false" ht="15" hidden="false" customHeight="true" outlineLevel="0" collapsed="false">
      <c r="A3" s="18" t="s">
        <v>156</v>
      </c>
      <c r="B3" s="19" t="n">
        <f aca="false">COUNTIF(预测日志!M2:M1000,"√")+COUNTIF(预测日志!M2:M1000,"×")</f>
        <v>26</v>
      </c>
    </row>
    <row r="4" customFormat="false" ht="15" hidden="false" customHeight="true" outlineLevel="0" collapsed="false">
      <c r="A4" s="18" t="s">
        <v>157</v>
      </c>
      <c r="B4" s="19" t="n">
        <f aca="false">COUNTA(预测日志!A2:A1000)</f>
        <v>27</v>
      </c>
    </row>
    <row r="5" customFormat="false" ht="15" hidden="false" customHeight="true" outlineLevel="0" collapsed="false">
      <c r="A5" s="20" t="s">
        <v>158</v>
      </c>
      <c r="B5" s="21" t="n">
        <f aca="false">IFERROR(COUNTIF(预测日志!M2:M1000,"√")/B3,"-")</f>
        <v>0.576923076923077</v>
      </c>
    </row>
    <row r="6" customFormat="false" ht="15" hidden="false" customHeight="true" outlineLevel="0" collapsed="false">
      <c r="A6" s="18" t="s">
        <v>159</v>
      </c>
      <c r="B6" s="22" t="n">
        <f aca="false">IFERROR(COUNTIF(预测日志!N2:N1000,"√")/(COUNTIF(预测日志!N2:N1000,"√")+COUNTIF(预测日志!N2:N1000,"×")),"-")</f>
        <v>0.423076923076923</v>
      </c>
    </row>
    <row r="7" customFormat="false" ht="15" hidden="false" customHeight="true" outlineLevel="0" collapsed="false">
      <c r="A7" s="20" t="s">
        <v>160</v>
      </c>
      <c r="B7" s="21" t="n">
        <f aca="true">IFERROR(COUNTIF(OFFSET(预测日志!$M$1,B3-MIN(30,B3)+1,0,MIN(30,B3),1),"√")/MIN(30,B3),"-")</f>
        <v>0.576923076923077</v>
      </c>
    </row>
    <row r="8" customFormat="false" ht="15" hidden="false" customHeight="true" outlineLevel="0" collapsed="false">
      <c r="A8" s="18" t="s">
        <v>161</v>
      </c>
      <c r="B8" s="22" t="n">
        <f aca="true">IFERROR(COUNTIF(OFFSET(预测日志!$N$1,B3-MIN(30,B3)+1,0,MIN(30,B3),1),"√")/MIN(30,B3),"-")</f>
        <v>0.423076923076923</v>
      </c>
    </row>
    <row r="9" customFormat="false" ht="15" hidden="false" customHeight="true" outlineLevel="0" collapsed="false">
      <c r="A9" s="18" t="s">
        <v>162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0.55</v>
      </c>
    </row>
    <row r="10" customFormat="false" ht="15" hidden="false" customHeight="true" outlineLevel="0" collapsed="false">
      <c r="A10" s="18" t="s">
        <v>163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164</v>
      </c>
    </row>
    <row r="13" customFormat="false" ht="15" hidden="false" customHeight="true" outlineLevel="0" collapsed="false">
      <c r="A13" s="3" t="s">
        <v>165</v>
      </c>
      <c r="B13" s="1" t="n">
        <f aca="false">COUNT(预测日志!R2:R1000)</f>
        <v>27</v>
      </c>
    </row>
    <row r="14" customFormat="false" ht="15" hidden="false" customHeight="true" outlineLevel="0" collapsed="false">
      <c r="A14" s="3" t="s">
        <v>166</v>
      </c>
      <c r="B14" s="1" t="n">
        <f aca="false">COUNTIFS(预测日志!R2:R1000,"&gt;0",预测日志!M2:M1000,"√")+COUNTIFS(预测日志!R2:R1000,"&gt;0",预测日志!M2:M1000,"×")</f>
        <v>26</v>
      </c>
    </row>
    <row r="15" customFormat="false" ht="15" hidden="false" customHeight="true" outlineLevel="0" collapsed="false">
      <c r="A15" s="3" t="s">
        <v>167</v>
      </c>
      <c r="B15" s="1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169</v>
      </c>
    </row>
    <row r="3" customFormat="false" ht="15" hidden="false" customHeight="true" outlineLevel="0" collapsed="false">
      <c r="A3" s="25" t="s">
        <v>170</v>
      </c>
      <c r="B3" s="26" t="s">
        <v>171</v>
      </c>
    </row>
    <row r="4" customFormat="false" ht="15" hidden="false" customHeight="true" outlineLevel="0" collapsed="false">
      <c r="A4" s="25" t="s">
        <v>172</v>
      </c>
      <c r="B4" s="26" t="s">
        <v>173</v>
      </c>
    </row>
    <row r="5" customFormat="false" ht="15" hidden="false" customHeight="true" outlineLevel="0" collapsed="false">
      <c r="A5" s="25" t="s">
        <v>174</v>
      </c>
      <c r="B5" s="26" t="s">
        <v>175</v>
      </c>
    </row>
    <row r="6" customFormat="false" ht="15" hidden="false" customHeight="true" outlineLevel="0" collapsed="false">
      <c r="A6" s="25" t="s">
        <v>176</v>
      </c>
      <c r="B6" s="26" t="s">
        <v>177</v>
      </c>
    </row>
    <row r="7" customFormat="false" ht="15" hidden="false" customHeight="true" outlineLevel="0" collapsed="false">
      <c r="A7" s="25" t="s">
        <v>178</v>
      </c>
      <c r="B7" s="26" t="s">
        <v>179</v>
      </c>
    </row>
    <row r="8" customFormat="false" ht="15" hidden="false" customHeight="true" outlineLevel="0" collapsed="false">
      <c r="A8" s="25" t="s">
        <v>7</v>
      </c>
      <c r="B8" s="26" t="s">
        <v>180</v>
      </c>
    </row>
    <row r="9" customFormat="false" ht="15" hidden="false" customHeight="true" outlineLevel="0" collapsed="false">
      <c r="A9" s="25" t="s">
        <v>14</v>
      </c>
      <c r="B9" s="26" t="s">
        <v>181</v>
      </c>
    </row>
    <row r="10" customFormat="false" ht="15" hidden="false" customHeight="true" outlineLevel="0" collapsed="false">
      <c r="A10" s="25" t="s">
        <v>182</v>
      </c>
      <c r="B10" s="27" t="s">
        <v>183</v>
      </c>
    </row>
    <row r="11" customFormat="false" ht="15" hidden="false" customHeight="true" outlineLevel="0" collapsed="false">
      <c r="A11" s="25" t="s">
        <v>184</v>
      </c>
      <c r="B11" s="26" t="s">
        <v>185</v>
      </c>
    </row>
    <row r="12" customFormat="false" ht="15" hidden="false" customHeight="true" outlineLevel="0" collapsed="false">
      <c r="A12" s="25" t="s">
        <v>186</v>
      </c>
      <c r="B12" s="27" t="s">
        <v>187</v>
      </c>
    </row>
    <row r="13" customFormat="false" ht="15" hidden="false" customHeight="true" outlineLevel="0" collapsed="false">
      <c r="A13" s="3" t="s">
        <v>17</v>
      </c>
      <c r="B13" s="3" t="s">
        <v>188</v>
      </c>
    </row>
    <row r="14" customFormat="false" ht="15" hidden="false" customHeight="true" outlineLevel="0" collapsed="false">
      <c r="A14" s="3" t="s">
        <v>189</v>
      </c>
      <c r="B14" s="3" t="s">
        <v>190</v>
      </c>
    </row>
    <row r="15" customFormat="false" ht="15" hidden="false" customHeight="true" outlineLevel="0" collapsed="false">
      <c r="A15" s="3" t="s">
        <v>191</v>
      </c>
      <c r="B15" s="1" t="s">
        <v>192</v>
      </c>
    </row>
    <row r="16" customFormat="false" ht="15" hidden="false" customHeight="true" outlineLevel="0" collapsed="false">
      <c r="A16" s="3" t="s">
        <v>193</v>
      </c>
      <c r="B16" s="3" t="s">
        <v>194</v>
      </c>
    </row>
    <row r="17" customFormat="false" ht="15" hidden="false" customHeight="true" outlineLevel="0" collapsed="false">
      <c r="A17" s="3" t="s">
        <v>195</v>
      </c>
      <c r="B17" s="3" t="s">
        <v>196</v>
      </c>
    </row>
    <row r="18" customFormat="false" ht="15" hidden="false" customHeight="true" outlineLevel="0" collapsed="false">
      <c r="A18" s="3" t="s">
        <v>197</v>
      </c>
      <c r="B18" s="3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2026-09-28T22:36:28Z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