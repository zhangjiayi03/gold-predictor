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<sst xmlns="http://schemas.openxmlformats.org/spreadsheetml/2006/main" count="214" uniqueCount="140">
  <si>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</si>
  <si>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</si>
  <si>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</si>
  <si>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</si>
  <si>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</si>
  <si>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</si>
  <si>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</si>
  <si>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</si>
  <si>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</si>
  <si>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</si>
  <si>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</si>
  <si>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</si>
  <si>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</si>
  <si>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</si>
  <si>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</si>
  <si>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</si>
  <si>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</si>
  <si>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</si>
  <si>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</si>
  <si>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</si>
  <si>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</si>
  <si>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</si>
  <si>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</si>
  <si>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</si>
  <si>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</si>
  <si>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</si>
  <si>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</si>
  <si>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</si>
  <si>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</si>
  <si>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</si>
  <si>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</si>
  <si>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</si>
  <si>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</si>
  <si>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</si>
  <si>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</si>
  <si>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</si>
  <si>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</si>
  <si>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</si>
  <si>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</si>
  <si>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</si>
  <si>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</si>
  <si>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</si>
  <si>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</si>
  <si>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</si>
  <si>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</si>
  <si>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</si>
  <si>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</si>
  <si>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</si>
  <si>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</si>
  <si>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</si>
  <si>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</si>
  <si>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</si>
  <si>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</si>
  <si>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</si>
  <si>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</si>
  <si>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</si>
  <si>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</si>
  <si>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</si>
  <si>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</si>
  <si>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</si>
  <si>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</si>
  <si>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</si>
  <si>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</si>
  <si>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</si>
  <si>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</si>
  <si>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</si>
  <si>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</si>
  <si>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</si>
  <si>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</si>
  <si>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</si>
  <si>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</si>
  <si>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</si>
  <si>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</si>
  <si>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</si>
  <si>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</si>
  <si>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</si>
  <si>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</si>
  <si>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</si>
  <si>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</si>
  <si>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</si>
  <si>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</si>
  <si>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</si>
  <si>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</si>
  <si>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</si>
  <si>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</si>
  <si>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</si>
  <si>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</si>
  <si>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</si>
  <si>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</si>
  <si>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</si>
  <si>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</si>
  <si>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</si>
  <si>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</si>
  <si>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r>
      <rPr>
        <sz val="11"/>
        <color rgb="FF000000"/>
        <rFont val="Noto Sans CJK SC"/>
        <family val="2"/>
      </rPr>
      <t xml:space="preserve">震荡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+0.72%)</t>
    </r>
    <r>
      <rPr>
        <sz val="11"/>
        <color rgb="FF000000"/>
        <rFont val="Noto Sans CJK SC"/>
        <family val="2"/>
      </rPr>
      <t xml:space="preserve">伴破位下行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-1.9%</t>
    </r>
    <r>
      <rPr>
        <sz val="11"/>
        <color rgb="FF000000"/>
        <rFont val="Noto Sans CJK SC"/>
        <family val="2"/>
      </rPr>
      <t xml:space="preserve">失守百日线</t>
    </r>
    <r>
      <rPr>
        <sz val="11"/>
        <color rgb="FF000000"/>
        <rFont val="Calibri"/>
        <family val="2"/>
        <charset val="1"/>
      </rPr>
      <t xml:space="preserve">4346/9</t>
    </r>
    <r>
      <rPr>
        <sz val="11"/>
        <color rgb="FF000000"/>
        <rFont val="Noto Sans CJK SC"/>
        <family val="2"/>
      </rPr>
      <t xml:space="preserve">月低点</t>
    </r>
    <r>
      <rPr>
        <sz val="11"/>
        <color rgb="FF000000"/>
        <rFont val="Calibri"/>
        <family val="2"/>
        <charset val="1"/>
      </rPr>
      <t xml:space="preserve">4329,10</t>
    </r>
    <r>
      <rPr>
        <sz val="11"/>
        <color rgb="FF000000"/>
        <rFont val="Noto Sans CJK SC"/>
        <family val="2"/>
      </rPr>
      <t xml:space="preserve">日约</t>
    </r>
    <r>
      <rPr>
        <sz val="11"/>
        <color rgb="FF000000"/>
        <rFont val="Calibri"/>
        <family val="2"/>
        <charset val="1"/>
      </rPr>
      <t xml:space="preserve">-6%,</t>
    </r>
    <r>
      <rPr>
        <sz val="11"/>
        <color rgb="FF000000"/>
        <rFont val="Noto Sans CJK SC"/>
        <family val="2"/>
      </rPr>
      <t xml:space="preserve">距</t>
    </r>
    <r>
      <rPr>
        <sz val="11"/>
        <color rgb="FF000000"/>
        <rFont val="Calibri"/>
        <family val="2"/>
        <charset val="1"/>
      </rPr>
      <t xml:space="preserve">4300</t>
    </r>
    <r>
      <rPr>
        <sz val="11"/>
        <color rgb="FF000000"/>
        <rFont val="Noto Sans CJK SC"/>
        <family val="2"/>
      </rPr>
      <t xml:space="preserve">关口</t>
    </r>
    <r>
      <rPr>
        <sz val="11"/>
        <color rgb="FF000000"/>
        <rFont val="Calibri"/>
        <family val="2"/>
        <charset val="1"/>
      </rPr>
      <t xml:space="preserve">-0.46%)</t>
    </r>
  </si>
  <si>
    <r>
      <rPr>
        <sz val="11"/>
        <color rgb="FF000000"/>
        <rFont val="Noto Sans CJK SC"/>
        <family val="2"/>
      </rPr>
      <t xml:space="preserve">技术三重破位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4346+9/1</t>
    </r>
    <r>
      <rPr>
        <sz val="11"/>
        <color rgb="FF000000"/>
        <rFont val="Noto Sans CJK SC"/>
        <family val="2"/>
      </rPr>
      <t xml:space="preserve">低点</t>
    </r>
    <r>
      <rPr>
        <sz val="11"/>
        <color rgb="FF000000"/>
        <rFont val="Calibri"/>
        <family val="2"/>
        <charset val="1"/>
      </rPr>
      <t xml:space="preserve">4329+60</t>
    </r>
    <r>
      <rPr>
        <sz val="11"/>
        <color rgb="FF000000"/>
        <rFont val="Noto Sans CJK SC"/>
        <family val="2"/>
      </rPr>
      <t xml:space="preserve">日区间下沿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PPI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-1.9%</t>
    </r>
    <r>
      <rPr>
        <sz val="11"/>
        <color rgb="FF000000"/>
        <rFont val="Noto Sans CJK SC"/>
        <family val="2"/>
      </rPr>
      <t xml:space="preserve">收于低位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 CPI(8</t>
    </r>
    <r>
      <rPr>
        <sz val="11"/>
        <color rgb="FF000000"/>
        <rFont val="Noto Sans CJK SC"/>
        <family val="2"/>
      </rPr>
      <t xml:space="preserve">月预期偏热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落在窗口正中；托底</t>
    </r>
    <r>
      <rPr>
        <sz val="11"/>
        <color rgb="FF000000"/>
        <rFont val="Calibri"/>
        <family val="2"/>
        <charset val="1"/>
      </rPr>
      <t xml:space="preserve">:RSI</t>
    </r>
    <r>
      <rPr>
        <sz val="11"/>
        <color rgb="FF000000"/>
        <rFont val="Noto Sans CJK SC"/>
        <family val="2"/>
      </rPr>
      <t xml:space="preserve">约</t>
    </r>
    <r>
      <rPr>
        <sz val="11"/>
        <color rgb="FF000000"/>
        <rFont val="Calibri"/>
        <family val="2"/>
        <charset val="1"/>
      </rPr>
      <t xml:space="preserve">30</t>
    </r>
    <r>
      <rPr>
        <sz val="11"/>
        <color rgb="FF000000"/>
        <rFont val="Noto Sans CJK SC"/>
        <family val="2"/>
      </rPr>
      <t xml:space="preserve">超卖加深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</t>
    </r>
    <r>
      <rPr>
        <sz val="11"/>
        <color rgb="FF000000"/>
        <rFont val="Noto Sans CJK SC"/>
        <family val="2"/>
      </rPr>
      <t xml:space="preserve">近三年最大</t>
    </r>
    <r>
      <rPr>
        <sz val="11"/>
        <color rgb="FF000000"/>
        <rFont val="Calibri"/>
        <family val="2"/>
        <charset val="1"/>
      </rPr>
      <t xml:space="preserve">)+4300</t>
    </r>
    <r>
      <rPr>
        <sz val="11"/>
        <color rgb="FF000000"/>
        <rFont val="Noto Sans CJK SC"/>
        <family val="2"/>
      </rPr>
      <t xml:space="preserve">整数关口买盘；事件降档规则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原始大档→中</t>
    </r>
  </si>
  <si>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06:35</t>
    </r>
    <r>
      <rPr>
        <sz val="11"/>
        <color rgb="FF000000"/>
        <rFont val="Noto Sans CJK SC"/>
        <family val="2"/>
      </rPr>
      <t xml:space="preserve">晨间定时执行成功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；方向押跌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档位押中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破位惯性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鹰派主线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落地兑现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事件降档规则原始大→中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非追结果式上修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基于当日信号独立判断</t>
    </r>
    <r>
      <rPr>
        <sz val="11"/>
        <color rgb="FF000000"/>
        <rFont val="Calibri"/>
        <family val="2"/>
        <charset val="1"/>
      </rPr>
      <t xml:space="preserve">:20</t>
    </r>
    <r>
      <rPr>
        <sz val="11"/>
        <color rgb="FF000000"/>
        <rFont val="Noto Sans CJK SC"/>
        <family val="2"/>
      </rPr>
      <t xml:space="preserve">日均幅</t>
    </r>
    <r>
      <rPr>
        <sz val="11"/>
        <color rgb="FF000000"/>
        <rFont val="Calibri"/>
        <family val="2"/>
        <charset val="1"/>
      </rPr>
      <t xml:space="preserve">1.04%+</t>
    </r>
    <r>
      <rPr>
        <sz val="11"/>
        <color rgb="FF000000"/>
        <rFont val="Noto Sans CJK SC"/>
        <family val="2"/>
      </rPr>
      <t xml:space="preserve">近</t>
    </r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Noto Sans CJK SC"/>
        <family val="2"/>
      </rPr>
      <t xml:space="preserve">日实际档位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大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中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破位首日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；规则冻结期沿用既有规则；</t>
    </r>
    <r>
      <rPr>
        <sz val="11"/>
        <color rgb="FF000000"/>
        <rFont val="Calibri"/>
        <family val="2"/>
        <charset val="1"/>
      </rPr>
      <t xml:space="preserve">9/10</t>
    </r>
    <r>
      <rPr>
        <sz val="11"/>
        <color rgb="FF000000"/>
        <rFont val="Noto Sans CJK SC"/>
        <family val="2"/>
      </rPr>
      <t xml:space="preserve">方向√档位</t>
    </r>
    <r>
      <rPr>
        <sz val="11"/>
        <color rgb="FF000000"/>
        <rFont val="Calibri"/>
        <family val="2"/>
        <charset val="1"/>
      </rPr>
      <t xml:space="preserve">×</t>
    </r>
    <r>
      <rPr>
        <sz val="11"/>
        <color rgb="FF000000"/>
        <rFont val="Noto Sans CJK SC"/>
        <family val="2"/>
      </rPr>
      <t xml:space="preserve">后累计方向</t>
    </r>
    <r>
      <rPr>
        <sz val="11"/>
        <color rgb="FF000000"/>
        <rFont val="Calibri"/>
        <family val="2"/>
        <charset val="1"/>
      </rPr>
      <t xml:space="preserve">8/14</t>
    </r>
    <r>
      <rPr>
        <sz val="11"/>
        <color rgb="FF000000"/>
        <rFont val="Noto Sans CJK SC"/>
        <family val="2"/>
      </rPr>
      <t xml:space="preserve">、档位</t>
    </r>
    <r>
      <rPr>
        <sz val="11"/>
        <color rgb="FF000000"/>
        <rFont val="Calibri"/>
        <family val="2"/>
        <charset val="1"/>
      </rPr>
      <t xml:space="preserve">4/14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</si>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</sst>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16" t="s">
        <v>44</v>
      </c>
      <c r="E16" s="16" t="s">
        <v>33</v>
      </c>
      <c r="F16" s="16" t="s">
        <v>44</v>
      </c>
      <c r="G16" s="16" t="s">
        <v>33</v>
      </c>
      <c r="H16" s="16" t="s">
        <v>22</v>
      </c>
      <c r="I16" s="5"/>
      <c r="J16" s="7" t="str">
        <f aca="false">IF(OR(I16="",C16=""),"",(I16-C16)/C16)</f>
        <v/>
      </c>
      <c r="K16" s="4" t="str">
        <f aca="false">IF(J16="","",IF(J16&gt;0,"涨",IF(J16&lt;0,"跌","平")))</f>
        <v/>
      </c>
      <c r="L16" s="4" t="str">
        <f aca="false">IF(J16="","",IF(ABS(J16)&lt;=0.003,"小",IF(ABS(J16)&lt;=0.01,"中","大")))</f>
        <v/>
      </c>
      <c r="M16" s="4" t="str">
        <f aca="false">IF(OR(D16="",K16=""),"",IF(D16=K16,"√","×"))</f>
        <v/>
      </c>
      <c r="N16" s="4" t="str">
        <f aca="false">IF(OR(E16="",L16=""),"",IF(E16=L16,"√","×"))</f>
        <v/>
      </c>
      <c r="O16" s="16" t="s">
        <v>93</v>
      </c>
      <c r="P16" s="16" t="s">
        <v>94</v>
      </c>
      <c r="Q16" s="16" t="s">
        <v>95</v>
      </c>
      <c r="R16" s="0" t="n">
        <v>55</v>
      </c>
    </row>
    <row r="17" customFormat="false" ht="15" hidden="false" customHeight="true" outlineLevel="0" collapsed="false">
      <c r="A17" s="8"/>
      <c r="B17" s="8"/>
      <c r="C17" s="9"/>
      <c r="D17" s="8"/>
      <c r="E17" s="8"/>
      <c r="F17" s="8"/>
      <c r="G17" s="8"/>
      <c r="H17" s="8"/>
      <c r="I17" s="9"/>
      <c r="J17" s="11" t="str">
        <f aca="false">IF(OR(I17="",C17=""),"",(I17-C17)/C17)</f>
        <v/>
      </c>
      <c r="K17" s="8" t="str">
        <f aca="false">IF(J17="","",IF(J17&gt;0,"涨",IF(J17&lt;0,"跌","平")))</f>
        <v/>
      </c>
      <c r="L17" s="8" t="str">
        <f aca="false">IF(J17="","",IF(ABS(J17)&lt;=0.003,"小",IF(ABS(J17)&lt;=0.01,"中","大")))</f>
        <v/>
      </c>
      <c r="M17" s="8" t="str">
        <f aca="false">IF(OR(D17="",K17=""),"",IF(D17=K17,"√","×"))</f>
        <v/>
      </c>
      <c r="N17" s="8" t="str">
        <f aca="false">IF(OR(E17="",L17=""),"",IF(E17=L17,"√","×"))</f>
        <v/>
      </c>
      <c r="O17" s="8"/>
      <c r="P17" s="8"/>
      <c r="Q17" s="8"/>
    </row>
    <row r="18" customFormat="false" ht="15" hidden="false" customHeight="true" outlineLevel="0" collapsed="false">
      <c r="A18" s="4"/>
      <c r="B18" s="4"/>
      <c r="C18" s="5"/>
      <c r="D18" s="4"/>
      <c r="E18" s="4"/>
      <c r="F18" s="4"/>
      <c r="G18" s="4"/>
      <c r="H18" s="4"/>
      <c r="I18" s="5"/>
      <c r="J18" s="7" t="str">
        <f aca="false">IF(OR(I18="",C18=""),"",(I18-C18)/C18)</f>
        <v/>
      </c>
      <c r="K18" s="4" t="str">
        <f aca="false">IF(J18="","",IF(J18&gt;0,"涨",IF(J18&lt;0,"跌","平")))</f>
        <v/>
      </c>
      <c r="L18" s="4" t="str">
        <f aca="false">IF(J18="","",IF(ABS(J18)&lt;=0.003,"小",IF(ABS(J18)&lt;=0.01,"中","大")))</f>
        <v/>
      </c>
      <c r="M18" s="4" t="str">
        <f aca="false">IF(OR(D18="",K18=""),"",IF(D18=K18,"√","×"))</f>
        <v/>
      </c>
      <c r="N18" s="4" t="str">
        <f aca="false">IF(OR(E18="",L18=""),"",IF(E18=L18,"√","×"))</f>
        <v/>
      </c>
      <c r="O18" s="4"/>
      <c r="P18" s="4"/>
      <c r="Q18" s="4"/>
    </row>
    <row r="19" customFormat="false" ht="15" hidden="false" customHeight="true" outlineLevel="0" collapsed="false">
      <c r="A19" s="8"/>
      <c r="B19" s="8"/>
      <c r="C19" s="9"/>
      <c r="D19" s="8"/>
      <c r="E19" s="8"/>
      <c r="F19" s="8"/>
      <c r="G19" s="8"/>
      <c r="H19" s="8"/>
      <c r="I19" s="9"/>
      <c r="J19" s="11" t="str">
        <f aca="false">IF(OR(I19="",C19=""),"",(I19-C19)/C19)</f>
        <v/>
      </c>
      <c r="K19" s="8" t="str">
        <f aca="false">IF(J19="","",IF(J19&gt;0,"涨",IF(J19&lt;0,"跌","平")))</f>
        <v/>
      </c>
      <c r="L19" s="8" t="str">
        <f aca="false">IF(J19="","",IF(ABS(J19)&lt;=0.003,"小",IF(ABS(J19)&lt;=0.01,"中","大")))</f>
        <v/>
      </c>
      <c r="M19" s="8" t="str">
        <f aca="false">IF(OR(D19="",K19=""),"",IF(D19=K19,"√","×"))</f>
        <v/>
      </c>
      <c r="N19" s="8" t="str">
        <f aca="false">IF(OR(E19="",L19=""),"",IF(E19=L19,"√","×"))</f>
        <v/>
      </c>
      <c r="O19" s="8"/>
      <c r="P19" s="8"/>
      <c r="Q19" s="8"/>
    </row>
    <row r="20" customFormat="false" ht="15" hidden="false" customHeight="true" outlineLevel="0" collapsed="false">
      <c r="A20" s="4"/>
      <c r="B20" s="4"/>
      <c r="C20" s="5"/>
      <c r="D20" s="4"/>
      <c r="E20" s="4"/>
      <c r="F20" s="4"/>
      <c r="G20" s="4"/>
      <c r="H20" s="4"/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4"/>
      <c r="P20" s="4"/>
      <c r="Q20" s="4"/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7" t="s">
        <v>96</v>
      </c>
    </row>
    <row r="3" customFormat="false" ht="15" hidden="false" customHeight="true" outlineLevel="0" collapsed="false">
      <c r="A3" s="18" t="s">
        <v>97</v>
      </c>
      <c r="B3" s="19" t="n">
        <f aca="false">COUNTIF(预测日志!M2:M1000,"√")+COUNTIF(预测日志!M2:M1000,"×")</f>
        <v>14</v>
      </c>
    </row>
    <row r="4" customFormat="false" ht="15" hidden="false" customHeight="true" outlineLevel="0" collapsed="false">
      <c r="A4" s="18" t="s">
        <v>98</v>
      </c>
      <c r="B4" s="19" t="n">
        <f aca="false">COUNTA(预测日志!A2:A1000)</f>
        <v>15</v>
      </c>
    </row>
    <row r="5" customFormat="false" ht="15" hidden="false" customHeight="true" outlineLevel="0" collapsed="false">
      <c r="A5" s="20" t="s">
        <v>99</v>
      </c>
      <c r="B5" s="21" t="n">
        <f aca="false">IFERROR(COUNTIF(预测日志!M2:M1000,"√")/B3,"-")</f>
        <v>0.571428571428571</v>
      </c>
    </row>
    <row r="6" customFormat="false" ht="15" hidden="false" customHeight="true" outlineLevel="0" collapsed="false">
      <c r="A6" s="18" t="s">
        <v>100</v>
      </c>
      <c r="B6" s="22" t="n">
        <f aca="false">IFERROR(COUNTIF(预测日志!N2:N1000,"√")/(COUNTIF(预测日志!N2:N1000,"√")+COUNTIF(预测日志!N2:N1000,"×")),"-")</f>
        <v>0.285714285714286</v>
      </c>
    </row>
    <row r="7" customFormat="false" ht="15" hidden="false" customHeight="true" outlineLevel="0" collapsed="false">
      <c r="A7" s="20" t="s">
        <v>101</v>
      </c>
      <c r="B7" s="21" t="n">
        <f aca="true">IFERROR(COUNTIF(OFFSET(预测日志!$M$1,B3-MIN(30,B3)+1,0,MIN(30,B3),1),"√")/MIN(30,B3),"-")</f>
        <v>0.571428571428571</v>
      </c>
    </row>
    <row r="8" customFormat="false" ht="15" hidden="false" customHeight="true" outlineLevel="0" collapsed="false">
      <c r="A8" s="18" t="s">
        <v>102</v>
      </c>
      <c r="B8" s="22" t="n">
        <f aca="true">IFERROR(COUNTIF(OFFSET(预测日志!$N$1,B3-MIN(30,B3)+1,0,MIN(30,B3),1),"√")/MIN(30,B3),"-")</f>
        <v>0.285714285714286</v>
      </c>
    </row>
    <row r="9" customFormat="false" ht="15" hidden="false" customHeight="true" outlineLevel="0" collapsed="false">
      <c r="A9" s="18" t="s">
        <v>103</v>
      </c>
      <c r="B9" s="19" t="n">
        <f aca="false">IFERROR(COUNTIFS(预测日志!O2:O1000,"趋势*",预测日志!M2:M1000,"√")/(COUNTIFS(预测日志!O2:O1000,"趋势*",预测日志!M2:M1000,"√")+COUNTIFS(预测日志!O2:O1000,"趋势*",预测日志!M2:M1000,"×")),"-")</f>
        <v>0.583333333333333</v>
      </c>
    </row>
    <row r="10" customFormat="false" ht="15" hidden="false" customHeight="true" outlineLevel="0" collapsed="false">
      <c r="A10" s="18" t="s">
        <v>104</v>
      </c>
      <c r="B10" s="19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3" t="s">
        <v>105</v>
      </c>
    </row>
    <row r="13" customFormat="false" ht="15" hidden="false" customHeight="true" outlineLevel="0" collapsed="false">
      <c r="A13" s="3" t="s">
        <v>106</v>
      </c>
      <c r="B13" s="1" t="n">
        <f aca="false">COUNT(预测日志!R2:R1000)</f>
        <v>15</v>
      </c>
    </row>
    <row r="14" customFormat="false" ht="15" hidden="false" customHeight="true" outlineLevel="0" collapsed="false">
      <c r="A14" s="3" t="s">
        <v>107</v>
      </c>
      <c r="B14" s="1" t="n">
        <f aca="false">COUNTIFS(预测日志!R2:R1000,"&gt;0",预测日志!M2:M1000,"√")+COUNTIFS(预测日志!R2:R1000,"&gt;0",预测日志!M2:M1000,"×")</f>
        <v>14</v>
      </c>
    </row>
    <row r="15" customFormat="false" ht="15" hidden="false" customHeight="true" outlineLevel="0" collapsed="false">
      <c r="A15" s="3" t="s">
        <v>108</v>
      </c>
      <c r="B15" s="1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4" t="s">
        <v>110</v>
      </c>
    </row>
    <row r="3" customFormat="false" ht="15" hidden="false" customHeight="true" outlineLevel="0" collapsed="false">
      <c r="A3" s="25" t="s">
        <v>111</v>
      </c>
      <c r="B3" s="26" t="s">
        <v>112</v>
      </c>
    </row>
    <row r="4" customFormat="false" ht="15" hidden="false" customHeight="true" outlineLevel="0" collapsed="false">
      <c r="A4" s="25" t="s">
        <v>113</v>
      </c>
      <c r="B4" s="26" t="s">
        <v>114</v>
      </c>
    </row>
    <row r="5" customFormat="false" ht="15" hidden="false" customHeight="true" outlineLevel="0" collapsed="false">
      <c r="A5" s="25" t="s">
        <v>115</v>
      </c>
      <c r="B5" s="26" t="s">
        <v>116</v>
      </c>
    </row>
    <row r="6" customFormat="false" ht="15" hidden="false" customHeight="true" outlineLevel="0" collapsed="false">
      <c r="A6" s="25" t="s">
        <v>117</v>
      </c>
      <c r="B6" s="26" t="s">
        <v>118</v>
      </c>
    </row>
    <row r="7" customFormat="false" ht="15" hidden="false" customHeight="true" outlineLevel="0" collapsed="false">
      <c r="A7" s="25" t="s">
        <v>119</v>
      </c>
      <c r="B7" s="26" t="s">
        <v>120</v>
      </c>
    </row>
    <row r="8" customFormat="false" ht="15" hidden="false" customHeight="true" outlineLevel="0" collapsed="false">
      <c r="A8" s="25" t="s">
        <v>7</v>
      </c>
      <c r="B8" s="26" t="s">
        <v>121</v>
      </c>
    </row>
    <row r="9" customFormat="false" ht="15" hidden="false" customHeight="true" outlineLevel="0" collapsed="false">
      <c r="A9" s="25" t="s">
        <v>14</v>
      </c>
      <c r="B9" s="26" t="s">
        <v>122</v>
      </c>
    </row>
    <row r="10" customFormat="false" ht="15" hidden="false" customHeight="true" outlineLevel="0" collapsed="false">
      <c r="A10" s="25" t="s">
        <v>123</v>
      </c>
      <c r="B10" s="27" t="s">
        <v>124</v>
      </c>
    </row>
    <row r="11" customFormat="false" ht="15" hidden="false" customHeight="true" outlineLevel="0" collapsed="false">
      <c r="A11" s="25" t="s">
        <v>125</v>
      </c>
      <c r="B11" s="26" t="s">
        <v>126</v>
      </c>
    </row>
    <row r="12" customFormat="false" ht="15" hidden="false" customHeight="true" outlineLevel="0" collapsed="false">
      <c r="A12" s="25" t="s">
        <v>127</v>
      </c>
      <c r="B12" s="27" t="s">
        <v>128</v>
      </c>
    </row>
    <row r="13" customFormat="false" ht="15" hidden="false" customHeight="true" outlineLevel="0" collapsed="false">
      <c r="A13" s="3" t="s">
        <v>17</v>
      </c>
      <c r="B13" s="3" t="s">
        <v>129</v>
      </c>
    </row>
    <row r="14" customFormat="false" ht="15" hidden="false" customHeight="true" outlineLevel="0" collapsed="false">
      <c r="A14" s="3" t="s">
        <v>130</v>
      </c>
      <c r="B14" s="3" t="s">
        <v>131</v>
      </c>
    </row>
    <row r="15" customFormat="false" ht="15" hidden="false" customHeight="true" outlineLevel="0" collapsed="false">
      <c r="A15" s="3" t="s">
        <v>132</v>
      </c>
      <c r="B15" s="1" t="s">
        <v>133</v>
      </c>
    </row>
    <row r="16" customFormat="false" ht="15" hidden="false" customHeight="true" outlineLevel="0" collapsed="false">
      <c r="A16" s="3" t="s">
        <v>134</v>
      </c>
      <c r="B16" s="3" t="s">
        <v>135</v>
      </c>
    </row>
    <row r="17" customFormat="false" ht="15" hidden="false" customHeight="true" outlineLevel="0" collapsed="false">
      <c r="A17" s="3" t="s">
        <v>136</v>
      </c>
      <c r="B17" s="3" t="s">
        <v>137</v>
      </c>
    </row>
    <row r="18" customFormat="false" ht="15" hidden="false" customHeight="true" outlineLevel="0" collapsed="false">
      <c r="A18" s="3" t="s">
        <v>138</v>
      </c>
      <c r="B18" s="3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2026-09-10T22:36:45Z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