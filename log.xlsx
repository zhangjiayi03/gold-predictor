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<sst xmlns="http://schemas.openxmlformats.org/spreadsheetml/2006/main" count="343" uniqueCount="204">
  <si>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</si>
  <si>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</si>
  <si>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</si>
  <si>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</si>
  <si>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</si>
  <si>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</si>
  <si>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</si>
  <si>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</si>
  <si>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</si>
  <si>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</si>
  <si>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</si>
  <si>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</si>
  <si>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</si>
  <si>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</si>
  <si>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</si>
  <si>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</si>
  <si>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</si>
  <si>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</si>
  <si>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</si>
  <si>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</si>
  <si>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</si>
  <si>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</si>
  <si>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</si>
  <si>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</si>
  <si>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</si>
  <si>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</si>
  <si>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</si>
  <si>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</si>
  <si>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</si>
  <si>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</si>
  <si>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</si>
  <si>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</si>
  <si>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</si>
  <si>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</si>
  <si>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</si>
  <si>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</si>
  <si>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</si>
  <si>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</si>
  <si>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</si>
  <si>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</si>
  <si>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</si>
  <si>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</si>
  <si>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</si>
  <si>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</si>
  <si>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</si>
  <si>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</si>
  <si>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</si>
  <si>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</si>
  <si>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</si>
  <si>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</si>
  <si>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</si>
  <si>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</si>
  <si>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</si>
  <si>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</si>
  <si>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</si>
  <si>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</si>
  <si>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</si>
  <si>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</si>
  <si>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</si>
  <si>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</si>
  <si>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</si>
  <si>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</si>
  <si>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</si>
  <si>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</si>
  <si>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</si>
  <si>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</si>
  <si>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</si>
  <si>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</si>
  <si>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</si>
  <si>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</si>
  <si>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</si>
  <si>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</si>
  <si>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</si>
  <si>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</si>
  <si>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</si>
  <si>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</si>
  <si>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</si>
  <si>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</si>
  <si>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</si>
  <si>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</si>
  <si>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</si>
  <si>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</si>
  <si>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</si>
  <si>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</si>
  <si>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</si>
  <si>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</si>
  <si>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</si>
  <si>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</si>
  <si>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</si>
  <si>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</si>
  <si>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</si>
  <si>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</si>
  <si>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</si>
  <si>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</si>
  <si>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</si>
  <si>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</si>
  <si>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</si>
  <si>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</si>
  <si>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</si>
  <si>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</si>
  <si>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</si>
  <si>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</si>
  <si>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</si>
  <si>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</si>
  <si>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</si>
  <si>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</si>
  <si>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</si>
  <si>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</si>
  <si>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</si>
  <si>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</si>
  <si>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</si>
  <si>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</si>
  <si>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</si>
  <si>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</si>
  <si>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</si>
  <si>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</si>
  <si>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</si>
  <si>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</si>
  <si>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</si>
  <si>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</si>
  <si>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</si>
  <si>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</si>
  <si>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</si>
  <si>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</si>
  <si>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</si>
  <si>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</si>
  <si>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</si>
  <si>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</si>
  <si>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</si>
  <si>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</si>
  <si>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</si>
  <si>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</si>
  <si>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</si>
  <si>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</si>
  <si>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</si>
  <si>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</si>
  <si>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</si>
  <si>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</si>
  <si>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</si>
  <si>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</si>
  <si>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</si>
  <si>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</si>
  <si>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</si>
  <si>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</si>
  <si>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</si>
  <si>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</si>
  <si>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</si>
  <si>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</si>
  <si>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</si>
  <si>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</si>
  <si>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</si>
  <si>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</si>
  <si>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</si>
  <si>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</si>
  <si>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</si>
  <si>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</si>
  <si>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</si>
  <si>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-9.17%</t>
    </r>
    <r>
      <rPr>
        <sz val="11"/>
        <color rgb="FF000000"/>
        <rFont val="Noto Sans CJK SC"/>
        <family val="2"/>
      </rPr>
      <t xml:space="preserve">本轮最深</t>
    </r>
    <r>
      <rPr>
        <sz val="11"/>
        <color rgb="FF000000"/>
        <rFont val="Calibri"/>
        <family val="2"/>
        <charset val="1"/>
      </rPr>
      <t xml:space="preserve">·LBMA</t>
    </r>
    <r>
      <rPr>
        <sz val="11"/>
        <color rgb="FF000000"/>
        <rFont val="Noto Sans CJK SC"/>
        <family val="2"/>
      </rPr>
      <t xml:space="preserve">定盘五连降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+0.1%</t>
    </r>
    <r>
      <rPr>
        <sz val="11"/>
        <color rgb="FF000000"/>
        <rFont val="Noto Sans CJK SC"/>
        <family val="2"/>
      </rPr>
      <t xml:space="preserve">长期横盘钝化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-2.87%</t>
    </r>
    <r>
      <rPr>
        <sz val="11"/>
        <color rgb="FF000000"/>
        <rFont val="Noto Sans CJK SC"/>
        <family val="2"/>
      </rPr>
      <t xml:space="preserve">短期续弱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昨超卖大反弹</t>
    </r>
    <r>
      <rPr>
        <sz val="11"/>
        <color rgb="FF000000"/>
        <rFont val="Calibri"/>
        <family val="2"/>
        <charset val="1"/>
      </rPr>
      <t xml:space="preserve">+1.41%</t>
    </r>
    <r>
      <rPr>
        <sz val="11"/>
        <color rgb="FF000000"/>
        <rFont val="Noto Sans CJK SC"/>
        <family val="2"/>
      </rPr>
      <t xml:space="preserve">后首日</t>
    </r>
    <r>
      <rPr>
        <sz val="11"/>
        <color rgb="FF000000"/>
        <rFont val="Calibri"/>
        <family val="2"/>
        <charset val="1"/>
      </rPr>
      <t xml:space="preserve">·PCE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窗内</t>
    </r>
  </si>
  <si>
    <r>
      <rPr>
        <sz val="11"/>
        <color rgb="FF000000"/>
        <rFont val="Noto Sans CJK SC"/>
        <family val="2"/>
      </rPr>
      <t xml:space="preserve">锯齿交替第</t>
    </r>
    <r>
      <rPr>
        <sz val="11"/>
        <color rgb="FF000000"/>
        <rFont val="Calibri"/>
        <family val="2"/>
        <charset val="1"/>
      </rPr>
      <t xml:space="preserve">11</t>
    </r>
    <r>
      <rPr>
        <sz val="11"/>
        <color rgb="FF000000"/>
        <rFont val="Noto Sans CJK SC"/>
        <family val="2"/>
      </rPr>
      <t xml:space="preserve">窗</t>
    </r>
    <r>
      <rPr>
        <sz val="11"/>
        <color rgb="FF000000"/>
        <rFont val="Calibri"/>
        <family val="2"/>
        <charset val="1"/>
      </rPr>
      <t xml:space="preserve">(9/8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窗严格交替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昨</t>
    </r>
    <r>
      <rPr>
        <sz val="11"/>
        <color rgb="FF000000"/>
        <rFont val="Calibri"/>
        <family val="2"/>
        <charset val="1"/>
      </rPr>
      <t xml:space="preserve">+1.41%→</t>
    </r>
    <r>
      <rPr>
        <sz val="11"/>
        <color rgb="FF000000"/>
        <rFont val="Noto Sans CJK SC"/>
        <family val="2"/>
      </rPr>
      <t xml:space="preserve">今回吐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-9.17%</t>
    </r>
    <r>
      <rPr>
        <sz val="11"/>
        <color rgb="FF000000"/>
        <rFont val="Noto Sans CJK SC"/>
        <family val="2"/>
      </rPr>
      <t xml:space="preserve">深位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鹰派组合</t>
    </r>
    <r>
      <rPr>
        <sz val="11"/>
        <color rgb="FF000000"/>
        <rFont val="Calibri"/>
        <family val="2"/>
        <charset val="1"/>
      </rPr>
      <t xml:space="preserve">(10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70%+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+10Y~4.96%)[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反弹供给压力</t>
    </r>
    <r>
      <rPr>
        <sz val="11"/>
        <color rgb="FF000000"/>
        <rFont val="Calibri"/>
        <family val="2"/>
        <charset val="1"/>
      </rPr>
      <t xml:space="preserve">$4,193-4,222</t>
    </r>
    <r>
      <rPr>
        <sz val="11"/>
        <color rgb="FF000000"/>
        <rFont val="Noto Sans CJK SC"/>
        <family val="2"/>
      </rPr>
      <t xml:space="preserve">为</t>
    </r>
    <r>
      <rPr>
        <sz val="11"/>
        <color rgb="FF000000"/>
        <rFont val="Calibri"/>
        <family val="2"/>
        <charset val="1"/>
      </rPr>
      <t xml:space="preserve">9/28</t>
    </r>
    <r>
      <rPr>
        <sz val="11"/>
        <color rgb="FF000000"/>
        <rFont val="Noto Sans CJK SC"/>
        <family val="2"/>
      </rPr>
      <t xml:space="preserve">破位区下沿套牢盘密集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]+PCE</t>
    </r>
    <r>
      <rPr>
        <sz val="11"/>
        <color rgb="FF000000"/>
        <rFont val="Noto Sans CJK SC"/>
        <family val="2"/>
      </rPr>
      <t xml:space="preserve">偏热概率高</t>
    </r>
    <r>
      <rPr>
        <sz val="11"/>
        <color rgb="FF000000"/>
        <rFont val="Calibri"/>
        <family val="2"/>
        <charset val="1"/>
      </rPr>
      <t xml:space="preserve">(PPI/CPI</t>
    </r>
    <r>
      <rPr>
        <sz val="11"/>
        <color rgb="FF000000"/>
        <rFont val="Noto Sans CJK SC"/>
        <family val="2"/>
      </rPr>
      <t xml:space="preserve">双热前瞻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(PBOC 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与</t>
    </r>
    <r>
      <rPr>
        <sz val="11"/>
        <color rgb="FF000000"/>
        <rFont val="Calibri"/>
        <family val="2"/>
        <charset val="1"/>
      </rPr>
      <t xml:space="preserve">$4,125/4,100</t>
    </r>
    <r>
      <rPr>
        <sz val="11"/>
        <color rgb="FF000000"/>
        <rFont val="Noto Sans CJK SC"/>
        <family val="2"/>
      </rPr>
      <t xml:space="preserve">双支撑承接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超卖修复动能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美盘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连强势买盘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轧空空间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地缘避险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美伊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关税通胀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押惯性回吐</t>
    </r>
    <r>
      <rPr>
        <sz val="11"/>
        <color rgb="FF000000"/>
        <rFont val="Calibri"/>
        <family val="2"/>
        <charset val="1"/>
      </rPr>
      <t xml:space="preserve">:PCE</t>
    </r>
    <r>
      <rPr>
        <sz val="11"/>
        <color rgb="FF000000"/>
        <rFont val="Noto Sans CJK SC"/>
        <family val="2"/>
      </rPr>
      <t xml:space="preserve">事件日亚欧盘收敛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双支撑封深跌故押中不押大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$4,139-4,168;PCE</t>
    </r>
    <r>
      <rPr>
        <sz val="11"/>
        <color rgb="FF000000"/>
        <rFont val="Noto Sans CJK SC"/>
        <family val="2"/>
      </rPr>
      <t xml:space="preserve">偏冷续反弹</t>
    </r>
    <r>
      <rPr>
        <sz val="11"/>
        <color rgb="FF000000"/>
        <rFont val="Calibri"/>
        <family val="2"/>
        <charset val="1"/>
      </rPr>
      <t xml:space="preserve">($4,193-4,222)</t>
    </r>
    <r>
      <rPr>
        <sz val="11"/>
        <color rgb="FF000000"/>
        <rFont val="Noto Sans CJK SC"/>
        <family val="2"/>
      </rPr>
      <t xml:space="preserve">约</t>
    </r>
    <r>
      <rPr>
        <sz val="11"/>
        <color rgb="FF000000"/>
        <rFont val="Calibri"/>
        <family val="2"/>
        <charset val="1"/>
      </rPr>
      <t xml:space="preserve">25%,</t>
    </r>
    <r>
      <rPr>
        <sz val="11"/>
        <color rgb="FF000000"/>
        <rFont val="Noto Sans CJK SC"/>
        <family val="2"/>
      </rPr>
      <t xml:space="preserve">偏热重挫</t>
    </r>
    <r>
      <rPr>
        <sz val="11"/>
        <color rgb="FF000000"/>
        <rFont val="Calibri"/>
        <family val="2"/>
        <charset val="1"/>
      </rPr>
      <t xml:space="preserve">(&lt;$4,139)</t>
    </r>
    <r>
      <rPr>
        <sz val="11"/>
        <color rgb="FF000000"/>
        <rFont val="Noto Sans CJK SC"/>
        <family val="2"/>
      </rPr>
      <t xml:space="preserve">约</t>
    </r>
    <r>
      <rPr>
        <sz val="11"/>
        <color rgb="FF000000"/>
        <rFont val="Calibri"/>
        <family val="2"/>
        <charset val="1"/>
      </rPr>
      <t xml:space="preserve">15%</t>
    </r>
  </si>
  <si>
    <r>
      <rPr>
        <sz val="11"/>
        <color rgb="FF000000"/>
        <rFont val="Noto Sans CJK SC"/>
        <family val="2"/>
      </rPr>
      <t xml:space="preserve">周三</t>
    </r>
    <r>
      <rPr>
        <sz val="11"/>
        <color rgb="FF000000"/>
        <rFont val="Calibri"/>
        <family val="2"/>
        <charset val="1"/>
      </rPr>
      <t xml:space="preserve">06:35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);9/29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××(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+1.41%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大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场景树</t>
    </r>
    <r>
      <rPr>
        <sz val="11"/>
        <color rgb="FF000000"/>
        <rFont val="Calibri"/>
        <family val="2"/>
        <charset val="1"/>
      </rPr>
      <t xml:space="preserve">C</t>
    </r>
    <r>
      <rPr>
        <sz val="11"/>
        <color rgb="FF000000"/>
        <rFont val="Noto Sans CJK SC"/>
        <family val="2"/>
      </rPr>
      <t xml:space="preserve">兑现且超上沿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后方向续押跌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非追结果式——独立依据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交替规律</t>
    </r>
    <r>
      <rPr>
        <sz val="11"/>
        <color rgb="FF000000"/>
        <rFont val="Calibri"/>
        <family val="2"/>
        <charset val="1"/>
      </rPr>
      <t xml:space="preserve">(10</t>
    </r>
    <r>
      <rPr>
        <sz val="11"/>
        <color rgb="FF000000"/>
        <rFont val="Noto Sans CJK SC"/>
        <family val="2"/>
      </rPr>
      <t xml:space="preserve">窗样本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趋势标签</t>
    </r>
    <r>
      <rPr>
        <sz val="11"/>
        <color rgb="FF000000"/>
        <rFont val="Calibri"/>
        <family val="2"/>
        <charset val="1"/>
      </rPr>
      <t xml:space="preserve">-9.17%</t>
    </r>
    <r>
      <rPr>
        <sz val="11"/>
        <color rgb="FF000000"/>
        <rFont val="Noto Sans CJK SC"/>
        <family val="2"/>
      </rPr>
      <t xml:space="preserve">未变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鹰派组合延续</t>
    </r>
    <r>
      <rPr>
        <sz val="11"/>
        <color rgb="FF000000"/>
        <rFont val="Calibri"/>
        <family val="2"/>
        <charset val="1"/>
      </rPr>
      <t xml:space="preserve">+PCE</t>
    </r>
    <r>
      <rPr>
        <sz val="11"/>
        <color rgb="FF000000"/>
        <rFont val="Noto Sans CJK SC"/>
        <family val="2"/>
      </rPr>
      <t xml:space="preserve">偏热概率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昨反弹驱动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预期降温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属未兑现即抢跑需今晚数据验证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档位维持中</t>
    </r>
    <r>
      <rPr>
        <sz val="11"/>
        <color rgb="FF000000"/>
        <rFont val="Calibri"/>
        <family val="2"/>
        <charset val="1"/>
      </rPr>
      <t xml:space="preserve">:PCE</t>
    </r>
    <r>
      <rPr>
        <sz val="11"/>
        <color rgb="FF000000"/>
        <rFont val="Noto Sans CJK SC"/>
        <family val="2"/>
      </rPr>
      <t xml:space="preserve">事件日收敛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-9.17%</t>
    </r>
    <r>
      <rPr>
        <sz val="11"/>
        <color rgb="FF000000"/>
        <rFont val="Noto Sans CJK SC"/>
        <family val="2"/>
      </rPr>
      <t xml:space="preserve">超卖封深跌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双支撑</t>
    </r>
    <r>
      <rPr>
        <sz val="11"/>
        <color rgb="FF000000"/>
        <rFont val="Calibri"/>
        <family val="2"/>
        <charset val="1"/>
      </rPr>
      <t xml:space="preserve">(-1.33%/-1.93%)</t>
    </r>
    <r>
      <rPr>
        <sz val="11"/>
        <color rgb="FF000000"/>
        <rFont val="Noto Sans CJK SC"/>
        <family val="2"/>
      </rPr>
      <t xml:space="preserve">近在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27/20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-0.2pp(Brier0.2481),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recalc.py,</t>
    </r>
    <r>
      <rPr>
        <sz val="11"/>
        <color rgb="FF000000"/>
        <rFont val="Noto Sans CJK SC"/>
        <family val="2"/>
      </rPr>
      <t xml:space="preserve">已用</t>
    </r>
    <r>
      <rPr>
        <sz val="11"/>
        <color rgb="FF000000"/>
        <rFont val="Calibri"/>
        <family val="2"/>
        <charset val="1"/>
      </rPr>
      <t xml:space="preserve">soffice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log.xlsx</t>
    </r>
    <r>
      <rPr>
        <sz val="11"/>
        <color rgb="FF000000"/>
        <rFont val="Noto Sans CJK SC"/>
        <family val="2"/>
      </rPr>
      <t xml:space="preserve">公式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</si>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</sst>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7" t="s">
        <v>44</v>
      </c>
      <c r="E29" s="17" t="s">
        <v>33</v>
      </c>
      <c r="F29" s="17" t="s">
        <v>44</v>
      </c>
      <c r="G29" s="17" t="s">
        <v>33</v>
      </c>
      <c r="H29" s="17" t="s">
        <v>22</v>
      </c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17" t="s">
        <v>157</v>
      </c>
      <c r="P29" s="17" t="s">
        <v>158</v>
      </c>
      <c r="Q29" s="17" t="s">
        <v>159</v>
      </c>
      <c r="R29" s="0" t="n">
        <v>55</v>
      </c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160</v>
      </c>
    </row>
    <row r="3" customFormat="false" ht="15" hidden="false" customHeight="true" outlineLevel="0" collapsed="false">
      <c r="A3" s="19" t="s">
        <v>161</v>
      </c>
      <c r="B3" s="20" t="n">
        <f aca="false">COUNTIF(预测日志!M2:M1000,"√")+COUNTIF(预测日志!M2:M1000,"×")</f>
        <v>27</v>
      </c>
    </row>
    <row r="4" customFormat="false" ht="15" hidden="false" customHeight="true" outlineLevel="0" collapsed="false">
      <c r="A4" s="19" t="s">
        <v>162</v>
      </c>
      <c r="B4" s="20" t="n">
        <f aca="false">COUNTA(预测日志!A2:A1000)</f>
        <v>28</v>
      </c>
    </row>
    <row r="5" customFormat="false" ht="15" hidden="false" customHeight="true" outlineLevel="0" collapsed="false">
      <c r="A5" s="21" t="s">
        <v>163</v>
      </c>
      <c r="B5" s="22" t="n">
        <f aca="false">IFERROR(COUNTIF(预测日志!M2:M1000,"√")/B3,"-")</f>
        <v>0.555555555555556</v>
      </c>
    </row>
    <row r="6" customFormat="false" ht="15" hidden="false" customHeight="true" outlineLevel="0" collapsed="false">
      <c r="A6" s="19" t="s">
        <v>164</v>
      </c>
      <c r="B6" s="23" t="n">
        <f aca="false">IFERROR(COUNTIF(预测日志!N2:N1000,"√")/(COUNTIF(预测日志!N2:N1000,"√")+COUNTIF(预测日志!N2:N1000,"×")),"-")</f>
        <v>0.407407407407407</v>
      </c>
    </row>
    <row r="7" customFormat="false" ht="15" hidden="false" customHeight="true" outlineLevel="0" collapsed="false">
      <c r="A7" s="21" t="s">
        <v>165</v>
      </c>
      <c r="B7" s="22" t="n">
        <f aca="true">IFERROR(COUNTIF(OFFSET(预测日志!$M$1,B3-MIN(30,B3)+1,0,MIN(30,B3),1),"√")/MIN(30,B3),"-")</f>
        <v>0.555555555555556</v>
      </c>
    </row>
    <row r="8" customFormat="false" ht="15" hidden="false" customHeight="true" outlineLevel="0" collapsed="false">
      <c r="A8" s="19" t="s">
        <v>166</v>
      </c>
      <c r="B8" s="23" t="n">
        <f aca="true">IFERROR(COUNTIF(OFFSET(预测日志!$N$1,B3-MIN(30,B3)+1,0,MIN(30,B3),1),"√")/MIN(30,B3),"-")</f>
        <v>0.407407407407407</v>
      </c>
    </row>
    <row r="9" customFormat="false" ht="15" hidden="false" customHeight="true" outlineLevel="0" collapsed="false">
      <c r="A9" s="19" t="s">
        <v>167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0.523809523809524</v>
      </c>
    </row>
    <row r="10" customFormat="false" ht="15" hidden="false" customHeight="true" outlineLevel="0" collapsed="false">
      <c r="A10" s="19" t="s">
        <v>168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169</v>
      </c>
    </row>
    <row r="13" customFormat="false" ht="15" hidden="false" customHeight="true" outlineLevel="0" collapsed="false">
      <c r="A13" s="3" t="s">
        <v>170</v>
      </c>
      <c r="B13" s="1" t="n">
        <f aca="false">COUNT(预测日志!R2:R1000)</f>
        <v>28</v>
      </c>
    </row>
    <row r="14" customFormat="false" ht="15" hidden="false" customHeight="true" outlineLevel="0" collapsed="false">
      <c r="A14" s="3" t="s">
        <v>171</v>
      </c>
      <c r="B14" s="1" t="n">
        <f aca="false">COUNTIFS(预测日志!R2:R1000,"&gt;0",预测日志!M2:M1000,"√")+COUNTIFS(预测日志!R2:R1000,"&gt;0",预测日志!M2:M1000,"×")</f>
        <v>27</v>
      </c>
    </row>
    <row r="15" customFormat="false" ht="15" hidden="false" customHeight="true" outlineLevel="0" collapsed="false">
      <c r="A15" s="3" t="s">
        <v>172</v>
      </c>
      <c r="B15" s="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174</v>
      </c>
    </row>
    <row r="3" customFormat="false" ht="15" hidden="false" customHeight="true" outlineLevel="0" collapsed="false">
      <c r="A3" s="26" t="s">
        <v>175</v>
      </c>
      <c r="B3" s="27" t="s">
        <v>176</v>
      </c>
    </row>
    <row r="4" customFormat="false" ht="15" hidden="false" customHeight="true" outlineLevel="0" collapsed="false">
      <c r="A4" s="26" t="s">
        <v>177</v>
      </c>
      <c r="B4" s="27" t="s">
        <v>178</v>
      </c>
    </row>
    <row r="5" customFormat="false" ht="15" hidden="false" customHeight="true" outlineLevel="0" collapsed="false">
      <c r="A5" s="26" t="s">
        <v>179</v>
      </c>
      <c r="B5" s="27" t="s">
        <v>180</v>
      </c>
    </row>
    <row r="6" customFormat="false" ht="15" hidden="false" customHeight="true" outlineLevel="0" collapsed="false">
      <c r="A6" s="26" t="s">
        <v>181</v>
      </c>
      <c r="B6" s="27" t="s">
        <v>182</v>
      </c>
    </row>
    <row r="7" customFormat="false" ht="15" hidden="false" customHeight="true" outlineLevel="0" collapsed="false">
      <c r="A7" s="26" t="s">
        <v>183</v>
      </c>
      <c r="B7" s="27" t="s">
        <v>184</v>
      </c>
    </row>
    <row r="8" customFormat="false" ht="15" hidden="false" customHeight="true" outlineLevel="0" collapsed="false">
      <c r="A8" s="26" t="s">
        <v>7</v>
      </c>
      <c r="B8" s="27" t="s">
        <v>185</v>
      </c>
    </row>
    <row r="9" customFormat="false" ht="15" hidden="false" customHeight="true" outlineLevel="0" collapsed="false">
      <c r="A9" s="26" t="s">
        <v>14</v>
      </c>
      <c r="B9" s="27" t="s">
        <v>186</v>
      </c>
    </row>
    <row r="10" customFormat="false" ht="15" hidden="false" customHeight="true" outlineLevel="0" collapsed="false">
      <c r="A10" s="26" t="s">
        <v>187</v>
      </c>
      <c r="B10" s="28" t="s">
        <v>188</v>
      </c>
    </row>
    <row r="11" customFormat="false" ht="15" hidden="false" customHeight="true" outlineLevel="0" collapsed="false">
      <c r="A11" s="26" t="s">
        <v>189</v>
      </c>
      <c r="B11" s="27" t="s">
        <v>190</v>
      </c>
    </row>
    <row r="12" customFormat="false" ht="15" hidden="false" customHeight="true" outlineLevel="0" collapsed="false">
      <c r="A12" s="26" t="s">
        <v>191</v>
      </c>
      <c r="B12" s="28" t="s">
        <v>192</v>
      </c>
    </row>
    <row r="13" customFormat="false" ht="15" hidden="false" customHeight="true" outlineLevel="0" collapsed="false">
      <c r="A13" s="3" t="s">
        <v>17</v>
      </c>
      <c r="B13" s="3" t="s">
        <v>193</v>
      </c>
    </row>
    <row r="14" customFormat="false" ht="15" hidden="false" customHeight="true" outlineLevel="0" collapsed="false">
      <c r="A14" s="3" t="s">
        <v>194</v>
      </c>
      <c r="B14" s="3" t="s">
        <v>195</v>
      </c>
    </row>
    <row r="15" customFormat="false" ht="15" hidden="false" customHeight="true" outlineLevel="0" collapsed="false">
      <c r="A15" s="3" t="s">
        <v>196</v>
      </c>
      <c r="B15" s="1" t="s">
        <v>197</v>
      </c>
    </row>
    <row r="16" customFormat="false" ht="15" hidden="false" customHeight="true" outlineLevel="0" collapsed="false">
      <c r="A16" s="3" t="s">
        <v>198</v>
      </c>
      <c r="B16" s="3" t="s">
        <v>199</v>
      </c>
    </row>
    <row r="17" customFormat="false" ht="15" hidden="false" customHeight="true" outlineLevel="0" collapsed="false">
      <c r="A17" s="3" t="s">
        <v>200</v>
      </c>
      <c r="B17" s="3" t="s">
        <v>201</v>
      </c>
    </row>
    <row r="18" customFormat="false" ht="15" hidden="false" customHeight="true" outlineLevel="0" collapsed="false">
      <c r="A18" s="3" t="s">
        <v>202</v>
      </c>
      <c r="B18" s="3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2026-09-29T22:35:28Z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