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<sst xmlns="http://schemas.openxmlformats.org/spreadsheetml/2006/main" count="373" uniqueCount="219">
  <si>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</si>
  <si>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</si>
  <si>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</si>
  <si>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</si>
  <si>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</si>
  <si>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</si>
  <si>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</si>
  <si>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</si>
  <si>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</si>
  <si>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</si>
  <si>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</si>
  <si>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</si>
  <si>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</si>
  <si>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</si>
  <si>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</si>
  <si>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</si>
  <si>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</si>
  <si>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</si>
  <si>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</si>
  <si>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</si>
  <si>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</si>
  <si>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</si>
  <si>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</si>
  <si>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</si>
  <si>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</si>
  <si>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</si>
  <si>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</si>
  <si>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</si>
  <si>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</si>
  <si>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</si>
  <si>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</si>
  <si>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</si>
  <si>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</si>
  <si>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</si>
  <si>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</si>
  <si>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</si>
  <si>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</si>
  <si>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</si>
  <si>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</si>
  <si>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</si>
  <si>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</si>
  <si>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</si>
  <si>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</si>
  <si>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</si>
  <si>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</si>
  <si>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</si>
  <si>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</si>
  <si>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</si>
  <si>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</si>
  <si>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</si>
  <si>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</si>
  <si>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</si>
  <si>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</si>
  <si>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</si>
  <si>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</si>
  <si>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</si>
  <si>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</si>
  <si>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</si>
  <si>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</si>
  <si>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</si>
  <si>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</si>
  <si>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</si>
  <si>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</si>
  <si>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</si>
  <si>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</si>
  <si>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</si>
  <si>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</si>
  <si>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</si>
  <si>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</si>
  <si>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</si>
  <si>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</si>
  <si>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</si>
  <si>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</si>
  <si>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</si>
  <si>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</si>
  <si>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</si>
  <si>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</si>
  <si>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</si>
  <si>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</si>
  <si>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</si>
  <si>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</si>
  <si>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</si>
  <si>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</si>
  <si>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</si>
  <si>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</si>
  <si>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</si>
  <si>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</si>
  <si>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</si>
  <si>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</si>
  <si>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</si>
  <si>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</si>
  <si>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</si>
  <si>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</si>
  <si>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</si>
  <si>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</si>
  <si>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</si>
  <si>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</si>
  <si>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</si>
  <si>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</si>
  <si>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</si>
  <si>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</si>
  <si>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</si>
  <si>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</si>
  <si>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</si>
  <si>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</si>
  <si>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</si>
  <si>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</si>
  <si>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</si>
  <si>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</si>
  <si>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</si>
  <si>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</si>
  <si>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</si>
  <si>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</si>
  <si>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</si>
  <si>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</si>
  <si>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</si>
  <si>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</si>
  <si>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</si>
  <si>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</si>
  <si>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</si>
  <si>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</si>
  <si>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</si>
  <si>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</si>
  <si>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</si>
  <si>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</si>
  <si>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</si>
  <si>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</si>
  <si>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</si>
  <si>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</si>
  <si>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</si>
  <si>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</si>
  <si>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</si>
  <si>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</si>
  <si>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</si>
  <si>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</si>
  <si>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</si>
  <si>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</si>
  <si>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</si>
  <si>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</si>
  <si>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</si>
  <si>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</si>
  <si>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</si>
  <si>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</si>
  <si>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</si>
  <si>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</si>
  <si>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</si>
  <si>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</si>
  <si>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</si>
  <si>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</si>
  <si>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</si>
  <si>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</si>
  <si>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</si>
  <si>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</si>
  <si>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</si>
  <si>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</si>
  <si>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</si>
  <si>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</si>
  <si>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</si>
  <si>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</si>
  <si>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</si>
  <si>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</si>
  <si>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</si>
  <si>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</si>
  <si>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</si>
  <si>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</si>
  <si>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2026-10-05</t>
  </si>
  <si>
    <t xml:space="preserve">2026-10-05 06:32</t>
  </si>
  <si>
    <t xml:space="preserve">趋势跌(20日-6.30%·9/29起结算价续接口径)·60日+1.34%长期钝化vs10日-4.18%短期续弱·周五非农后-0.99%大跌企稳日·SGE国庆休市至10/7·本周无重大数据</t>
  </si>
  <si>
    <t xml:space="preserve">周五冲高$4,227遭抛回落-0.99%(非农后收益率走高)[已定价]+10月加息70%/12月88%鹰派组合+20日-6.30%趋势跌深位[已定价] vs $4,114-4,125双底带近在(-0.43%~-0.70%)[未释放]+近11窗涨跌严格交替周五跌今日轮涨[未释放]+PBoC 22连月购金(8月+20.2t创2023/10以来最大)+ETF 8月流入$18bn[未释放]+VIX回落15.31恐慌消退[部分定价]→押超卖修复:主路径收$4,155-4,172(+0.3%~+0.7%中档下沿),亚盘破$4,130防线则转跌</t>
  </si>
  <si>
    <t xml:space="preserve">周一06:32晨间定时执行成功(克隆仓库版);10/2周五晨间任务未执行→10/1行已于10/3周六补结算(涨√档×,外部双源均值$4,185.6),今晨settle无待结算行(10/3-10/4周末无行);方向续押涨非追结果(10/1押涨√后连押)——独立依据=周五-0.99%超卖宣泄落地+平开企稳+双底带上方止跌+11窗交替;档位改押中:涨窗样本全为中档(+0.88/+0.68)且10/1押小被+0.68%击穿(连续两次押小失手);LBMA仍403,基线9/29-10/1结算价续接,10/2漏采缺口已注source_note;本沙盒无recalc.py(按规则跳过),公式用LibreOffice重算;校准29/20达标良好+2.9pp(Brier0.2449),三条待改项仍待用户定夺,本判断沿用冻结前规则</t>
  </si>
  <si>
    <t xml:space="preserve">2026-10-06</t>
  </si>
  <si>
    <t xml:space="preserve">2026-10-06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</si>
  <si>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-6.14%·</t>
    </r>
    <r>
      <rPr>
        <sz val="11"/>
        <color rgb="FF000000"/>
        <rFont val="Noto Sans CJK SC"/>
        <family val="2"/>
      </rPr>
      <t xml:space="preserve">结算价续接口径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+1.1%</t>
    </r>
    <r>
      <rPr>
        <sz val="11"/>
        <color rgb="FF000000"/>
        <rFont val="Noto Sans CJK SC"/>
        <family val="2"/>
      </rPr>
      <t xml:space="preserve">长期钝化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-4.69%</t>
    </r>
    <r>
      <rPr>
        <sz val="11"/>
        <color rgb="FF000000"/>
        <rFont val="Noto Sans CJK SC"/>
        <family val="2"/>
      </rPr>
      <t xml:space="preserve">短期续弱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昨</t>
    </r>
    <r>
      <rPr>
        <sz val="11"/>
        <color rgb="FF000000"/>
        <rFont val="Calibri"/>
        <family val="2"/>
        <charset val="1"/>
      </rPr>
      <t xml:space="preserve">+0.03%</t>
    </r>
    <r>
      <rPr>
        <sz val="11"/>
        <color rgb="FF000000"/>
        <rFont val="Noto Sans CJK SC"/>
        <family val="2"/>
      </rPr>
      <t xml:space="preserve">弱修复后动能收敛</t>
    </r>
    <r>
      <rPr>
        <sz val="11"/>
        <color rgb="FF000000"/>
        <rFont val="Calibri"/>
        <family val="2"/>
        <charset val="1"/>
      </rPr>
      <t xml:space="preserve">·SGE</t>
    </r>
    <r>
      <rPr>
        <sz val="11"/>
        <color rgb="FF000000"/>
        <rFont val="Noto Sans CJK SC"/>
        <family val="2"/>
      </rPr>
      <t xml:space="preserve">国庆休市最后一天</t>
    </r>
    <r>
      <rPr>
        <sz val="11"/>
        <color rgb="FF000000"/>
        <rFont val="Calibri"/>
        <family val="2"/>
        <charset val="1"/>
      </rPr>
      <t xml:space="preserve">(10/7</t>
    </r>
    <r>
      <rPr>
        <sz val="11"/>
        <color rgb="FF000000"/>
        <rFont val="Noto Sans CJK SC"/>
        <family val="2"/>
      </rPr>
      <t xml:space="preserve">复市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隔夜美数据偏强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本周数据真空</t>
    </r>
  </si>
  <si>
    <r>
      <rPr>
        <sz val="11"/>
        <color rgb="FF000000"/>
        <rFont val="Noto Sans CJK SC"/>
        <family val="2"/>
      </rPr>
      <t xml:space="preserve">隔夜美经济数据偏强强化</t>
    </r>
    <r>
      <rPr>
        <sz val="11"/>
        <color rgb="FF000000"/>
        <rFont val="Calibri"/>
        <family val="2"/>
        <charset val="1"/>
      </rPr>
      <t xml:space="preserve">higher-for-longer+FXS Fed</t>
    </r>
    <r>
      <rPr>
        <sz val="11"/>
        <color rgb="FF000000"/>
        <rFont val="Noto Sans CJK SC"/>
        <family val="2"/>
      </rPr>
      <t xml:space="preserve">情绪指数</t>
    </r>
    <r>
      <rPr>
        <sz val="11"/>
        <color rgb="FF000000"/>
        <rFont val="Calibri"/>
        <family val="2"/>
        <charset val="1"/>
      </rPr>
      <t xml:space="preserve">136.59</t>
    </r>
    <r>
      <rPr>
        <sz val="11"/>
        <color rgb="FF000000"/>
        <rFont val="Noto Sans CJK SC"/>
        <family val="2"/>
      </rPr>
      <t xml:space="preserve">鹰派区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-6.14%</t>
    </r>
    <r>
      <rPr>
        <sz val="11"/>
        <color rgb="FF000000"/>
        <rFont val="Noto Sans CJK SC"/>
        <family val="2"/>
      </rPr>
      <t xml:space="preserve">趋势跌深位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日均线下方技术偏空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昨场景</t>
    </r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+0.3%~0.7%</t>
    </r>
    <r>
      <rPr>
        <sz val="11"/>
        <color rgb="FF000000"/>
        <rFont val="Noto Sans CJK SC"/>
        <family val="2"/>
      </rPr>
      <t xml:space="preserve">仅兑现</t>
    </r>
    <r>
      <rPr>
        <sz val="11"/>
        <color rgb="FF000000"/>
        <rFont val="Calibri"/>
        <family val="2"/>
        <charset val="1"/>
      </rPr>
      <t xml:space="preserve">+0.03%</t>
    </r>
    <r>
      <rPr>
        <sz val="11"/>
        <color rgb="FF000000"/>
        <rFont val="Noto Sans CJK SC"/>
        <family val="2"/>
      </rPr>
      <t xml:space="preserve">该涨涨不动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反弹动能衰竭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]+12</t>
    </r>
    <r>
      <rPr>
        <sz val="11"/>
        <color rgb="FF000000"/>
        <rFont val="Noto Sans CJK SC"/>
        <family val="2"/>
      </rPr>
      <t xml:space="preserve">窗交替轮跌窗</t>
    </r>
    <r>
      <rPr>
        <sz val="11"/>
        <color rgb="FF000000"/>
        <rFont val="Calibri"/>
        <family val="2"/>
        <charset val="1"/>
      </rPr>
      <t xml:space="preserve">(9/8</t>
    </r>
    <r>
      <rPr>
        <sz val="11"/>
        <color rgb="FF000000"/>
        <rFont val="Noto Sans CJK SC"/>
        <family val="2"/>
      </rPr>
      <t xml:space="preserve">起严格交替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]+SGE</t>
    </r>
    <r>
      <rPr>
        <sz val="11"/>
        <color rgb="FF000000"/>
        <rFont val="Noto Sans CJK SC"/>
        <family val="2"/>
      </rPr>
      <t xml:space="preserve">休市最后一天亚盘缺实物买盘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$4,114-4,125</t>
    </r>
    <r>
      <rPr>
        <sz val="11"/>
        <color rgb="FF000000"/>
        <rFont val="Noto Sans CJK SC"/>
        <family val="2"/>
      </rPr>
      <t xml:space="preserve">双底带四守成功</t>
    </r>
    <r>
      <rPr>
        <sz val="11"/>
        <color rgb="FF000000"/>
        <rFont val="Calibri"/>
        <family val="2"/>
        <charset val="1"/>
      </rPr>
      <t xml:space="preserve">(9/14/9/18/9/24/10-1)[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+20.2t)+ETF 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$18bn</t>
    </r>
    <r>
      <rPr>
        <sz val="11"/>
        <color rgb="FF000000"/>
        <rFont val="Noto Sans CJK SC"/>
        <family val="2"/>
      </rPr>
      <t xml:space="preserve">结构性托底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]+VIX 15.31</t>
    </r>
    <r>
      <rPr>
        <sz val="11"/>
        <color rgb="FF000000"/>
        <rFont val="Noto Sans CJK SC"/>
        <family val="2"/>
      </rPr>
      <t xml:space="preserve">低位无流动性冲击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地缘避险残余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美伊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关税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也门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押顺势回落测底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主路径</t>
    </r>
    <r>
      <rPr>
        <sz val="11"/>
        <color rgb="FF000000"/>
        <rFont val="Calibri"/>
        <family val="2"/>
        <charset val="1"/>
      </rPr>
      <t xml:space="preserve">-0.3%~-0.7%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$4,115-4,132(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双底承接封深跌不押大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</si>
  <si>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);10/5</t>
    </r>
    <r>
      <rPr>
        <sz val="11"/>
        <color rgb="FF000000"/>
        <rFont val="Noto Sans CJK SC"/>
        <family val="2"/>
      </rPr>
      <t xml:space="preserve">结算√</t>
    </r>
    <r>
      <rPr>
        <sz val="11"/>
        <color rgb="FF000000"/>
        <rFont val="Calibri"/>
        <family val="2"/>
        <charset val="1"/>
      </rPr>
      <t xml:space="preserve">×(</t>
    </r>
    <r>
      <rPr>
        <sz val="11"/>
        <color rgb="FF000000"/>
        <rFont val="Noto Sans CJK SC"/>
        <family val="2"/>
      </rPr>
      <t xml:space="preserve">押涨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+0.03%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午后</t>
    </r>
    <r>
      <rPr>
        <sz val="11"/>
        <color rgb="FF000000"/>
        <rFont val="Calibri"/>
        <family val="2"/>
        <charset val="1"/>
      </rPr>
      <t xml:space="preserve">+0.28%</t>
    </r>
    <r>
      <rPr>
        <sz val="11"/>
        <color rgb="FF000000"/>
        <rFont val="Noto Sans CJK SC"/>
        <family val="2"/>
      </rPr>
      <t xml:space="preserve">一度在轨美盘回吐归零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后方向转押跌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非追结果式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昨方向√</t>
    </r>
    <r>
      <rPr>
        <sz val="11"/>
        <color rgb="FF000000"/>
        <rFont val="Calibri"/>
        <family val="2"/>
        <charset val="1"/>
      </rPr>
      <t xml:space="preserve">)——</t>
    </r>
    <r>
      <rPr>
        <sz val="11"/>
        <color rgb="FF000000"/>
        <rFont val="Noto Sans CJK SC"/>
        <family val="2"/>
      </rPr>
      <t xml:space="preserve">独立依据</t>
    </r>
    <r>
      <rPr>
        <sz val="11"/>
        <color rgb="FF000000"/>
        <rFont val="Calibri"/>
        <family val="2"/>
        <charset val="1"/>
      </rPr>
      <t xml:space="preserve">=①</t>
    </r>
    <r>
      <rPr>
        <sz val="11"/>
        <color rgb="FF000000"/>
        <rFont val="Noto Sans CJK SC"/>
        <family val="2"/>
      </rPr>
      <t xml:space="preserve">弱修复证伪反弹叙事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+0.3~0.7%</t>
    </r>
    <r>
      <rPr>
        <sz val="11"/>
        <color rgb="FF000000"/>
        <rFont val="Noto Sans CJK SC"/>
        <family val="2"/>
      </rPr>
      <t xml:space="preserve">仅兑现</t>
    </r>
    <r>
      <rPr>
        <sz val="11"/>
        <color rgb="FF000000"/>
        <rFont val="Calibri"/>
        <family val="2"/>
        <charset val="1"/>
      </rPr>
      <t xml:space="preserve">+0.03%)②12</t>
    </r>
    <r>
      <rPr>
        <sz val="11"/>
        <color rgb="FF000000"/>
        <rFont val="Noto Sans CJK SC"/>
        <family val="2"/>
      </rPr>
      <t xml:space="preserve">窗交替轮跌③隔夜美数据偏强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鹰派情绪升温④顺势结构未变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整理期跌窗样本均为中档</t>
    </r>
    <r>
      <rPr>
        <sz val="11"/>
        <color rgb="FF000000"/>
        <rFont val="Calibri"/>
        <family val="2"/>
        <charset val="1"/>
      </rPr>
      <t xml:space="preserve">(-0.56/-0.99)+</t>
    </r>
    <r>
      <rPr>
        <sz val="11"/>
        <color rgb="FF000000"/>
        <rFont val="Noto Sans CJK SC"/>
        <family val="2"/>
      </rPr>
      <t xml:space="preserve">回落测双底带目标恰落中档区间</t>
    </r>
    <r>
      <rPr>
        <sz val="11"/>
        <color rgb="FF000000"/>
        <rFont val="Calibri"/>
        <family val="2"/>
        <charset val="1"/>
      </rPr>
      <t xml:space="preserve">;LBMA</t>
    </r>
    <r>
      <rPr>
        <sz val="11"/>
        <color rgb="FF000000"/>
        <rFont val="Noto Sans CJK SC"/>
        <family val="2"/>
      </rPr>
      <t xml:space="preserve">仍</t>
    </r>
    <r>
      <rPr>
        <sz val="11"/>
        <color rgb="FF000000"/>
        <rFont val="Calibri"/>
        <family val="2"/>
        <charset val="1"/>
      </rPr>
      <t xml:space="preserve">403,</t>
    </r>
    <r>
      <rPr>
        <sz val="11"/>
        <color rgb="FF000000"/>
        <rFont val="Noto Sans CJK SC"/>
        <family val="2"/>
      </rPr>
      <t xml:space="preserve">基线</t>
    </r>
    <r>
      <rPr>
        <sz val="11"/>
        <color rgb="FF000000"/>
        <rFont val="Calibri"/>
        <family val="2"/>
        <charset val="1"/>
      </rPr>
      <t xml:space="preserve">9/29</t>
    </r>
    <r>
      <rPr>
        <sz val="11"/>
        <color rgb="FF000000"/>
        <rFont val="Noto Sans CJK SC"/>
        <family val="2"/>
      </rPr>
      <t xml:space="preserve">起结算价续接</t>
    </r>
    <r>
      <rPr>
        <sz val="11"/>
        <color rgb="FF000000"/>
        <rFont val="Calibri"/>
        <family val="2"/>
        <charset val="1"/>
      </rPr>
      <t xml:space="preserve">(10-02</t>
    </r>
    <r>
      <rPr>
        <sz val="11"/>
        <color rgb="FF000000"/>
        <rFont val="Noto Sans CJK SC"/>
        <family val="2"/>
      </rPr>
      <t xml:space="preserve">漏采注</t>
    </r>
    <r>
      <rPr>
        <sz val="11"/>
        <color rgb="FF000000"/>
        <rFont val="Calibri"/>
        <family val="2"/>
        <charset val="1"/>
      </rPr>
      <t xml:space="preserve">source_note);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recalc.py(</t>
    </r>
    <r>
      <rPr>
        <sz val="11"/>
        <color rgb="FF000000"/>
        <rFont val="Noto Sans CJK SC"/>
        <family val="2"/>
      </rPr>
      <t xml:space="preserve">按规则跳过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公式用</t>
    </r>
    <r>
      <rPr>
        <sz val="11"/>
        <color rgb="FF000000"/>
        <rFont val="Calibri"/>
        <family val="2"/>
        <charset val="1"/>
      </rPr>
      <t xml:space="preserve">LibreOffice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30/20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+4.3pp(Brier0.2435),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</si>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</sst>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 t="s">
        <v>165</v>
      </c>
      <c r="B31" s="8" t="s">
        <v>166</v>
      </c>
      <c r="C31" s="9" t="n">
        <v>4142.8</v>
      </c>
      <c r="D31" s="10" t="s">
        <v>20</v>
      </c>
      <c r="E31" s="10" t="s">
        <v>33</v>
      </c>
      <c r="F31" s="10" t="s">
        <v>20</v>
      </c>
      <c r="G31" s="10" t="s">
        <v>33</v>
      </c>
      <c r="H31" s="10" t="s">
        <v>22</v>
      </c>
      <c r="I31" s="9" t="n">
        <v>4144.2</v>
      </c>
      <c r="J31" s="11" t="n">
        <f aca="false">IF(OR(I31="",C31=""),"",(I31-C31)/C31)</f>
        <v>0.00033793569566468</v>
      </c>
      <c r="K31" s="8" t="str">
        <f aca="false">IF(J31="","",IF(J31&gt;0,"涨",IF(J31&lt;0,"跌","平")))</f>
        <v>涨</v>
      </c>
      <c r="L31" s="8" t="str">
        <f aca="false">IF(J31="","",IF(ABS(J31)&lt;=0.003,"小",IF(ABS(J31)&lt;=0.01,"中","大")))</f>
        <v>小</v>
      </c>
      <c r="M31" s="8" t="str">
        <f aca="false">IF(OR(D31="",K31=""),"",IF(D31=K31,"√","×"))</f>
        <v>√</v>
      </c>
      <c r="N31" s="8" t="str">
        <f aca="false">IF(OR(E31="",L31=""),"",IF(E31=L31,"√","×"))</f>
        <v>×</v>
      </c>
      <c r="O31" s="10" t="s">
        <v>167</v>
      </c>
      <c r="P31" s="10" t="s">
        <v>168</v>
      </c>
      <c r="Q31" s="10" t="s">
        <v>169</v>
      </c>
      <c r="R31" s="1" t="n">
        <v>55</v>
      </c>
    </row>
    <row r="32" customFormat="false" ht="15" hidden="false" customHeight="true" outlineLevel="0" collapsed="false">
      <c r="A32" s="4" t="s">
        <v>170</v>
      </c>
      <c r="B32" s="4" t="s">
        <v>171</v>
      </c>
      <c r="C32" s="5" t="n">
        <v>4144.4</v>
      </c>
      <c r="D32" s="17" t="s">
        <v>44</v>
      </c>
      <c r="E32" s="17" t="s">
        <v>33</v>
      </c>
      <c r="F32" s="17" t="s">
        <v>44</v>
      </c>
      <c r="G32" s="17" t="s">
        <v>33</v>
      </c>
      <c r="H32" s="17" t="s">
        <v>22</v>
      </c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17" t="s">
        <v>172</v>
      </c>
      <c r="P32" s="17" t="s">
        <v>173</v>
      </c>
      <c r="Q32" s="17" t="s">
        <v>174</v>
      </c>
      <c r="R32" s="0" t="n">
        <v>55</v>
      </c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175</v>
      </c>
    </row>
    <row r="3" customFormat="false" ht="15" hidden="false" customHeight="true" outlineLevel="0" collapsed="false">
      <c r="A3" s="19" t="s">
        <v>176</v>
      </c>
      <c r="B3" s="20" t="n">
        <f aca="false">COUNTIF(预测日志!M2:M1000,"√")+COUNTIF(预测日志!M2:M1000,"×")</f>
        <v>30</v>
      </c>
    </row>
    <row r="4" customFormat="false" ht="15" hidden="false" customHeight="true" outlineLevel="0" collapsed="false">
      <c r="A4" s="19" t="s">
        <v>177</v>
      </c>
      <c r="B4" s="20" t="n">
        <f aca="false">COUNTA(预测日志!A2:A1000)</f>
        <v>31</v>
      </c>
    </row>
    <row r="5" customFormat="false" ht="15" hidden="false" customHeight="true" outlineLevel="0" collapsed="false">
      <c r="A5" s="21" t="s">
        <v>178</v>
      </c>
      <c r="B5" s="22" t="n">
        <f aca="false">IFERROR(COUNTIF(预测日志!M2:M1000,"√")/B3,"-")</f>
        <v>0.6</v>
      </c>
    </row>
    <row r="6" customFormat="false" ht="15" hidden="false" customHeight="true" outlineLevel="0" collapsed="false">
      <c r="A6" s="19" t="s">
        <v>179</v>
      </c>
      <c r="B6" s="23" t="n">
        <f aca="false">IFERROR(COUNTIF(预测日志!N2:N1000,"√")/(COUNTIF(预测日志!N2:N1000,"√")+COUNTIF(预测日志!N2:N1000,"×")),"-")</f>
        <v>0.4</v>
      </c>
    </row>
    <row r="7" customFormat="false" ht="15" hidden="false" customHeight="true" outlineLevel="0" collapsed="false">
      <c r="A7" s="21" t="s">
        <v>180</v>
      </c>
      <c r="B7" s="22" t="n">
        <f aca="true">IFERROR(COUNTIF(OFFSET(预测日志!$M$1,B3-MIN(30,B3)+1,0,MIN(30,B3),1),"√")/MIN(30,B3),"-")</f>
        <v>0.6</v>
      </c>
    </row>
    <row r="8" customFormat="false" ht="15" hidden="false" customHeight="true" outlineLevel="0" collapsed="false">
      <c r="A8" s="19" t="s">
        <v>181</v>
      </c>
      <c r="B8" s="23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9" t="s">
        <v>182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9" t="s">
        <v>183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184</v>
      </c>
    </row>
    <row r="13" customFormat="false" ht="15" hidden="false" customHeight="true" outlineLevel="0" collapsed="false">
      <c r="A13" s="3" t="s">
        <v>185</v>
      </c>
      <c r="B13" s="1" t="n">
        <f aca="false">COUNT(预测日志!R2:R1000)</f>
        <v>31</v>
      </c>
    </row>
    <row r="14" customFormat="false" ht="15" hidden="false" customHeight="true" outlineLevel="0" collapsed="false">
      <c r="A14" s="3" t="s">
        <v>186</v>
      </c>
      <c r="B14" s="1" t="n">
        <f aca="false">COUNTIFS(预测日志!R2:R1000,"&gt;0",预测日志!M2:M1000,"√")+COUNTIFS(预测日志!R2:R1000,"&gt;0",预测日志!M2:M1000,"×")</f>
        <v>30</v>
      </c>
    </row>
    <row r="15" customFormat="false" ht="15" hidden="false" customHeight="true" outlineLevel="0" collapsed="false">
      <c r="A15" s="3" t="s">
        <v>187</v>
      </c>
      <c r="B15" s="1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189</v>
      </c>
    </row>
    <row r="3" customFormat="false" ht="15" hidden="false" customHeight="true" outlineLevel="0" collapsed="false">
      <c r="A3" s="26" t="s">
        <v>190</v>
      </c>
      <c r="B3" s="27" t="s">
        <v>191</v>
      </c>
    </row>
    <row r="4" customFormat="false" ht="15" hidden="false" customHeight="true" outlineLevel="0" collapsed="false">
      <c r="A4" s="26" t="s">
        <v>192</v>
      </c>
      <c r="B4" s="27" t="s">
        <v>193</v>
      </c>
    </row>
    <row r="5" customFormat="false" ht="15" hidden="false" customHeight="true" outlineLevel="0" collapsed="false">
      <c r="A5" s="26" t="s">
        <v>194</v>
      </c>
      <c r="B5" s="27" t="s">
        <v>195</v>
      </c>
    </row>
    <row r="6" customFormat="false" ht="15" hidden="false" customHeight="true" outlineLevel="0" collapsed="false">
      <c r="A6" s="26" t="s">
        <v>196</v>
      </c>
      <c r="B6" s="27" t="s">
        <v>197</v>
      </c>
    </row>
    <row r="7" customFormat="false" ht="15" hidden="false" customHeight="true" outlineLevel="0" collapsed="false">
      <c r="A7" s="26" t="s">
        <v>198</v>
      </c>
      <c r="B7" s="27" t="s">
        <v>199</v>
      </c>
    </row>
    <row r="8" customFormat="false" ht="15" hidden="false" customHeight="true" outlineLevel="0" collapsed="false">
      <c r="A8" s="26" t="s">
        <v>7</v>
      </c>
      <c r="B8" s="27" t="s">
        <v>200</v>
      </c>
    </row>
    <row r="9" customFormat="false" ht="15" hidden="false" customHeight="true" outlineLevel="0" collapsed="false">
      <c r="A9" s="26" t="s">
        <v>14</v>
      </c>
      <c r="B9" s="27" t="s">
        <v>201</v>
      </c>
    </row>
    <row r="10" customFormat="false" ht="15" hidden="false" customHeight="true" outlineLevel="0" collapsed="false">
      <c r="A10" s="26" t="s">
        <v>202</v>
      </c>
      <c r="B10" s="28" t="s">
        <v>203</v>
      </c>
    </row>
    <row r="11" customFormat="false" ht="15" hidden="false" customHeight="true" outlineLevel="0" collapsed="false">
      <c r="A11" s="26" t="s">
        <v>204</v>
      </c>
      <c r="B11" s="27" t="s">
        <v>205</v>
      </c>
    </row>
    <row r="12" customFormat="false" ht="15" hidden="false" customHeight="true" outlineLevel="0" collapsed="false">
      <c r="A12" s="26" t="s">
        <v>206</v>
      </c>
      <c r="B12" s="28" t="s">
        <v>207</v>
      </c>
    </row>
    <row r="13" customFormat="false" ht="15" hidden="false" customHeight="true" outlineLevel="0" collapsed="false">
      <c r="A13" s="3" t="s">
        <v>17</v>
      </c>
      <c r="B13" s="3" t="s">
        <v>208</v>
      </c>
    </row>
    <row r="14" customFormat="false" ht="15" hidden="false" customHeight="true" outlineLevel="0" collapsed="false">
      <c r="A14" s="3" t="s">
        <v>209</v>
      </c>
      <c r="B14" s="3" t="s">
        <v>210</v>
      </c>
    </row>
    <row r="15" customFormat="false" ht="15" hidden="false" customHeight="true" outlineLevel="0" collapsed="false">
      <c r="A15" s="3" t="s">
        <v>211</v>
      </c>
      <c r="B15" s="1" t="s">
        <v>212</v>
      </c>
    </row>
    <row r="16" customFormat="false" ht="15" hidden="false" customHeight="true" outlineLevel="0" collapsed="false">
      <c r="A16" s="3" t="s">
        <v>213</v>
      </c>
      <c r="B16" s="3" t="s">
        <v>214</v>
      </c>
    </row>
    <row r="17" customFormat="false" ht="15" hidden="false" customHeight="true" outlineLevel="0" collapsed="false">
      <c r="A17" s="3" t="s">
        <v>215</v>
      </c>
      <c r="B17" s="3" t="s">
        <v>216</v>
      </c>
    </row>
    <row r="18" customFormat="false" ht="15" hidden="false" customHeight="true" outlineLevel="0" collapsed="false">
      <c r="A18" s="3" t="s">
        <v>217</v>
      </c>
      <c r="B18" s="3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2026-10-05T22:36:38Z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