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<sst xmlns="http://schemas.openxmlformats.org/spreadsheetml/2006/main" count="304" uniqueCount="185">
  <si>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</si>
  <si>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</si>
  <si>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</si>
  <si>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</si>
  <si>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</si>
  <si>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</si>
  <si>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</si>
  <si>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</si>
  <si>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</si>
  <si>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</si>
  <si>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</si>
  <si>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</si>
  <si>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</si>
  <si>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</si>
  <si>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</si>
  <si>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</si>
  <si>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</si>
  <si>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</si>
  <si>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</si>
  <si>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</si>
  <si>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</si>
  <si>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</si>
  <si>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</si>
  <si>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</si>
  <si>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</si>
  <si>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</si>
  <si>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</si>
  <si>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</si>
  <si>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</si>
  <si>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</si>
  <si>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</si>
  <si>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</si>
  <si>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</si>
  <si>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</si>
  <si>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</si>
  <si>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</si>
  <si>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</si>
  <si>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</si>
  <si>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</si>
  <si>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</si>
  <si>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</si>
  <si>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</si>
  <si>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</si>
  <si>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</si>
  <si>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</si>
  <si>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</si>
  <si>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</si>
  <si>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</si>
  <si>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</si>
  <si>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</si>
  <si>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</si>
  <si>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</si>
  <si>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</si>
  <si>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</si>
  <si>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</si>
  <si>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</si>
  <si>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</si>
  <si>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</si>
  <si>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</si>
  <si>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</si>
  <si>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</si>
  <si>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</si>
  <si>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</si>
  <si>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</si>
  <si>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</si>
  <si>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</si>
  <si>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</si>
  <si>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</si>
  <si>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</si>
  <si>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</si>
  <si>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</si>
  <si>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</si>
  <si>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</si>
  <si>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</si>
  <si>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</si>
  <si>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</si>
  <si>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</si>
  <si>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</si>
  <si>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</si>
  <si>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</si>
  <si>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</si>
  <si>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</si>
  <si>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</si>
  <si>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</si>
  <si>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</si>
  <si>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</si>
  <si>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</si>
  <si>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</si>
  <si>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</si>
  <si>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</si>
  <si>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</si>
  <si>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</si>
  <si>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</si>
  <si>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</si>
  <si>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</si>
  <si>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</si>
  <si>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</si>
  <si>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</si>
  <si>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</si>
  <si>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</si>
  <si>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</si>
  <si>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</si>
  <si>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</si>
  <si>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</si>
  <si>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</si>
  <si>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</si>
  <si>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</si>
  <si>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</si>
  <si>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</si>
  <si>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</si>
  <si>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</si>
  <si>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</si>
  <si>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</si>
  <si>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</si>
  <si>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</si>
  <si>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</si>
  <si>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</si>
  <si>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</si>
  <si>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</si>
  <si>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</si>
  <si>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</si>
  <si>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</si>
  <si>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</si>
  <si>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</si>
  <si>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</si>
  <si>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</si>
  <si>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</si>
  <si>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</si>
  <si>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</si>
  <si>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</si>
  <si>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</si>
  <si>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</si>
  <si>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</si>
  <si>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</si>
  <si>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</si>
  <si>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</si>
  <si>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</si>
  <si>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</si>
  <si>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-7.16%</t>
    </r>
    <r>
      <rPr>
        <sz val="11"/>
        <color rgb="FF000000"/>
        <rFont val="Noto Sans CJK SC"/>
        <family val="2"/>
      </rPr>
      <t xml:space="preserve">连续第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日加深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+7.4%</t>
    </r>
    <r>
      <rPr>
        <sz val="11"/>
        <color rgb="FF000000"/>
        <rFont val="Noto Sans CJK SC"/>
        <family val="2"/>
      </rPr>
      <t xml:space="preserve">长期涨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LBMA-1.58%</t>
    </r>
    <r>
      <rPr>
        <sz val="11"/>
        <color rgb="FF000000"/>
        <rFont val="Noto Sans CJK SC"/>
        <family val="2"/>
      </rPr>
      <t xml:space="preserve">短期续弱背离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6</t>
    </r>
    <r>
      <rPr>
        <sz val="11"/>
        <color rgb="FF000000"/>
        <rFont val="Noto Sans CJK SC"/>
        <family val="2"/>
      </rPr>
      <t xml:space="preserve">交易日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昨日破位大阴线次日</t>
    </r>
  </si>
  <si>
    <r>
      <rPr>
        <sz val="11"/>
        <color rgb="FF000000"/>
        <rFont val="Noto Sans CJK SC"/>
        <family val="2"/>
      </rPr>
      <t xml:space="preserve">昨日破位大阴线</t>
    </r>
    <r>
      <rPr>
        <sz val="11"/>
        <color rgb="FF000000"/>
        <rFont val="Calibri"/>
        <family val="2"/>
        <charset val="1"/>
      </rPr>
      <t xml:space="preserve">-1.72%(</t>
    </r>
    <r>
      <rPr>
        <sz val="11"/>
        <color rgb="FF000000"/>
        <rFont val="Noto Sans CJK SC"/>
        <family val="2"/>
      </rPr>
      <t xml:space="preserve">跌穿</t>
    </r>
    <r>
      <rPr>
        <sz val="11"/>
        <color rgb="FF000000"/>
        <rFont val="Calibri"/>
        <family val="2"/>
        <charset val="1"/>
      </rPr>
      <t xml:space="preserve">$4,314.8</t>
    </r>
    <r>
      <rPr>
        <sz val="11"/>
        <color rgb="FF000000"/>
        <rFont val="Noto Sans CJK SC"/>
        <family val="2"/>
      </rPr>
      <t xml:space="preserve">双底颈线</t>
    </r>
    <r>
      <rPr>
        <sz val="11"/>
        <color rgb="FF000000"/>
        <rFont val="Calibri"/>
        <family val="2"/>
        <charset val="1"/>
      </rPr>
      <t xml:space="preserve">+50%</t>
    </r>
    <r>
      <rPr>
        <sz val="11"/>
        <color rgb="FF000000"/>
        <rFont val="Noto Sans CJK SC"/>
        <family val="2"/>
      </rPr>
      <t xml:space="preserve">回撤</t>
    </r>
    <r>
      <rPr>
        <sz val="11"/>
        <color rgb="FF000000"/>
        <rFont val="Calibri"/>
        <family val="2"/>
        <charset val="1"/>
      </rPr>
      <t xml:space="preserve">$4,314.66+$4,300</t>
    </r>
    <r>
      <rPr>
        <sz val="11"/>
        <color rgb="FF000000"/>
        <rFont val="Noto Sans CJK SC"/>
        <family val="2"/>
      </rPr>
      <t xml:space="preserve">整数关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$4,289.60,</t>
    </r>
    <r>
      <rPr>
        <sz val="11"/>
        <color rgb="FF000000"/>
        <rFont val="Noto Sans CJK SC"/>
        <family val="2"/>
      </rPr>
      <t xml:space="preserve">场景</t>
    </r>
    <r>
      <rPr>
        <sz val="11"/>
        <color rgb="FF000000"/>
        <rFont val="Calibri"/>
        <family val="2"/>
        <charset val="1"/>
      </rPr>
      <t xml:space="preserve">D</t>
    </r>
    <r>
      <rPr>
        <sz val="11"/>
        <color rgb="FF000000"/>
        <rFont val="Noto Sans CJK SC"/>
        <family val="2"/>
      </rPr>
      <t xml:space="preserve">兑现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]+20</t>
    </r>
    <r>
      <rPr>
        <sz val="11"/>
        <color rgb="FF000000"/>
        <rFont val="Noto Sans CJK SC"/>
        <family val="2"/>
      </rPr>
      <t xml:space="preserve">日趋势跌加深至</t>
    </r>
    <r>
      <rPr>
        <sz val="11"/>
        <color rgb="FF000000"/>
        <rFont val="Calibri"/>
        <family val="2"/>
        <charset val="1"/>
      </rPr>
      <t xml:space="preserve">-7.16%</t>
    </r>
    <r>
      <rPr>
        <sz val="11"/>
        <color rgb="FF000000"/>
        <rFont val="Noto Sans CJK SC"/>
        <family val="2"/>
      </rPr>
      <t xml:space="preserve">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鹰派加息预期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</t>
    </r>
    <r>
      <rPr>
        <sz val="11"/>
        <color rgb="FF000000"/>
        <rFont val="Noto Sans CJK SC"/>
        <family val="2"/>
      </rPr>
      <t xml:space="preserve">压制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四连降至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]+CFTC/ETF</t>
    </r>
    <r>
      <rPr>
        <sz val="11"/>
        <color rgb="FF000000"/>
        <rFont val="Noto Sans CJK SC"/>
        <family val="2"/>
      </rPr>
      <t xml:space="preserve">投机持仓降至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(9/14 LBMA/9/18</t>
    </r>
    <r>
      <rPr>
        <sz val="11"/>
        <color rgb="FF000000"/>
        <rFont val="Noto Sans CJK SC"/>
        <family val="2"/>
      </rPr>
      <t xml:space="preserve">现货</t>
    </r>
    <r>
      <rPr>
        <sz val="11"/>
        <color rgb="FF000000"/>
        <rFont val="Calibri"/>
        <family val="2"/>
        <charset val="1"/>
      </rPr>
      <t xml:space="preserve">/9/23</t>
    </r>
    <r>
      <rPr>
        <sz val="11"/>
        <color rgb="FF000000"/>
        <rFont val="Noto Sans CJK SC"/>
        <family val="2"/>
      </rPr>
      <t xml:space="preserve">亚市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与央行逢低承接</t>
    </r>
    <r>
      <rPr>
        <sz val="11"/>
        <color rgb="FF000000"/>
        <rFont val="Calibri"/>
        <family val="2"/>
        <charset val="1"/>
      </rPr>
      <t xml:space="preserve">(PBOC 21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sub-$4,300</t>
    </r>
    <r>
      <rPr>
        <sz val="11"/>
        <color rgb="FF000000"/>
        <rFont val="Noto Sans CJK SC"/>
        <family val="2"/>
      </rPr>
      <t xml:space="preserve">现</t>
    </r>
    <r>
      <rPr>
        <sz val="11"/>
        <color rgb="FF000000"/>
        <rFont val="Calibri"/>
        <family val="2"/>
        <charset val="1"/>
      </rPr>
      <t xml:space="preserve">goodish</t>
    </r>
    <r>
      <rPr>
        <sz val="11"/>
        <color rgb="FF000000"/>
        <rFont val="Noto Sans CJK SC"/>
        <family val="2"/>
      </rPr>
      <t xml:space="preserve">反弹买盘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押顺势低位阴跌收</t>
    </r>
    <r>
      <rPr>
        <sz val="11"/>
        <color rgb="FF000000"/>
        <rFont val="Calibri"/>
        <family val="2"/>
        <charset val="1"/>
      </rPr>
      <t xml:space="preserve">$4,262-4,276,$4,265</t>
    </r>
    <r>
      <rPr>
        <sz val="11"/>
        <color rgb="FF000000"/>
        <rFont val="Noto Sans CJK SC"/>
        <family val="2"/>
      </rPr>
      <t xml:space="preserve">为存亡线、</t>
    </r>
    <r>
      <rPr>
        <sz val="11"/>
        <color rgb="FF000000"/>
        <rFont val="Calibri"/>
        <family val="2"/>
        <charset val="1"/>
      </rPr>
      <t xml:space="preserve">$4,314.66</t>
    </r>
    <r>
      <rPr>
        <sz val="11"/>
        <color rgb="FF000000"/>
        <rFont val="Noto Sans CJK SC"/>
        <family val="2"/>
      </rPr>
      <t xml:space="preserve">为反压确认线</t>
    </r>
  </si>
  <si>
    <r>
      <rPr>
        <sz val="11"/>
        <color rgb="FF000000"/>
        <rFont val="Noto Sans CJK SC"/>
        <family val="2"/>
      </rPr>
      <t xml:space="preserve">周四</t>
    </r>
    <r>
      <rPr>
        <sz val="11"/>
        <color rgb="FF000000"/>
        <rFont val="Calibri"/>
        <family val="2"/>
        <charset val="1"/>
      </rPr>
      <t xml:space="preserve">06:32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);9/23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××(</t>
    </r>
    <r>
      <rPr>
        <sz val="11"/>
        <color rgb="FF000000"/>
        <rFont val="Noto Sans CJK SC"/>
        <family val="2"/>
      </rPr>
      <t xml:space="preserve">押涨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-1.72%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场景</t>
    </r>
    <r>
      <rPr>
        <sz val="11"/>
        <color rgb="FF000000"/>
        <rFont val="Calibri"/>
        <family val="2"/>
        <charset val="1"/>
      </rPr>
      <t xml:space="preserve">D</t>
    </r>
    <r>
      <rPr>
        <sz val="11"/>
        <color rgb="FF000000"/>
        <rFont val="Noto Sans CJK SC"/>
        <family val="2"/>
      </rPr>
      <t xml:space="preserve">兑现且更深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后方向顺势转跌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非追结果——独立依据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破位结构</t>
    </r>
    <r>
      <rPr>
        <sz val="11"/>
        <color rgb="FF000000"/>
        <rFont val="Calibri"/>
        <family val="2"/>
        <charset val="1"/>
      </rPr>
      <t xml:space="preserve">($4,310-4,334</t>
    </r>
    <r>
      <rPr>
        <sz val="11"/>
        <color rgb="FF000000"/>
        <rFont val="Noto Sans CJK SC"/>
        <family val="2"/>
      </rPr>
      <t xml:space="preserve">三重支撑带单日全数跌穿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隔夜贴</t>
    </r>
    <r>
      <rPr>
        <sz val="11"/>
        <color rgb="FF000000"/>
        <rFont val="Calibri"/>
        <family val="2"/>
        <charset val="1"/>
      </rPr>
      <t xml:space="preserve">$4,289</t>
    </r>
    <r>
      <rPr>
        <sz val="11"/>
        <color rgb="FF000000"/>
        <rFont val="Noto Sans CJK SC"/>
        <family val="2"/>
      </rPr>
      <t xml:space="preserve">低位横盘无反抽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趋势标签</t>
    </r>
    <r>
      <rPr>
        <sz val="11"/>
        <color rgb="FF000000"/>
        <rFont val="Calibri"/>
        <family val="2"/>
        <charset val="1"/>
      </rPr>
      <t xml:space="preserve">-7.16%</t>
    </r>
    <r>
      <rPr>
        <sz val="11"/>
        <color rgb="FF000000"/>
        <rFont val="Noto Sans CJK SC"/>
        <family val="2"/>
      </rPr>
      <t xml:space="preserve">连续加深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幅度押中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破位惯性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日日均波幅</t>
    </r>
    <r>
      <rPr>
        <sz val="11"/>
        <color rgb="FF000000"/>
        <rFont val="Calibri"/>
        <family val="2"/>
        <charset val="1"/>
      </rPr>
      <t xml:space="preserve">0.99%</t>
    </r>
    <r>
      <rPr>
        <sz val="11"/>
        <color rgb="FF000000"/>
        <rFont val="Noto Sans CJK SC"/>
        <family val="2"/>
      </rPr>
      <t xml:space="preserve">但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三重底近在</t>
    </r>
    <r>
      <rPr>
        <sz val="11"/>
        <color rgb="FF000000"/>
        <rFont val="Calibri"/>
        <family val="2"/>
        <charset val="1"/>
      </rPr>
      <t xml:space="preserve">-0.5%+</t>
    </r>
    <r>
      <rPr>
        <sz val="11"/>
        <color rgb="FF000000"/>
        <rFont val="Noto Sans CJK SC"/>
        <family val="2"/>
      </rPr>
      <t xml:space="preserve">央行承接封深跌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23/20</t>
    </r>
    <r>
      <rPr>
        <sz val="11"/>
        <color rgb="FF000000"/>
        <rFont val="Noto Sans CJK SC"/>
        <family val="2"/>
      </rPr>
      <t xml:space="preserve">达标校准良好</t>
    </r>
    <r>
      <rPr>
        <sz val="11"/>
        <color rgb="FF000000"/>
        <rFont val="Calibri"/>
        <family val="2"/>
        <charset val="1"/>
      </rPr>
      <t xml:space="preserve">+0.7pp(Brier0.2473),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recalc.py,</t>
    </r>
    <r>
      <rPr>
        <sz val="11"/>
        <color rgb="FF000000"/>
        <rFont val="Noto Sans CJK SC"/>
        <family val="2"/>
      </rPr>
      <t xml:space="preserve">已用</t>
    </r>
    <r>
      <rPr>
        <sz val="11"/>
        <color rgb="FF000000"/>
        <rFont val="Calibri"/>
        <family val="2"/>
        <charset val="1"/>
      </rPr>
      <t xml:space="preserve">soffice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log.xlsx</t>
    </r>
    <r>
      <rPr>
        <sz val="11"/>
        <color rgb="FF000000"/>
        <rFont val="Noto Sans CJK SC"/>
        <family val="2"/>
      </rPr>
      <t xml:space="preserve">公式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</si>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</sst>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6" t="s">
        <v>44</v>
      </c>
      <c r="E25" s="16" t="s">
        <v>33</v>
      </c>
      <c r="F25" s="16" t="s">
        <v>44</v>
      </c>
      <c r="G25" s="16" t="s">
        <v>33</v>
      </c>
      <c r="H25" s="16" t="s">
        <v>22</v>
      </c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16" t="s">
        <v>138</v>
      </c>
      <c r="P25" s="16" t="s">
        <v>139</v>
      </c>
      <c r="Q25" s="16" t="s">
        <v>140</v>
      </c>
      <c r="R25" s="0" t="n">
        <v>55</v>
      </c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141</v>
      </c>
    </row>
    <row r="3" customFormat="false" ht="15" hidden="false" customHeight="true" outlineLevel="0" collapsed="false">
      <c r="A3" s="18" t="s">
        <v>142</v>
      </c>
      <c r="B3" s="19" t="n">
        <f aca="false">COUNTIF(预测日志!M2:M1000,"√")+COUNTIF(预测日志!M2:M1000,"×")</f>
        <v>23</v>
      </c>
    </row>
    <row r="4" customFormat="false" ht="15" hidden="false" customHeight="true" outlineLevel="0" collapsed="false">
      <c r="A4" s="18" t="s">
        <v>143</v>
      </c>
      <c r="B4" s="19" t="n">
        <f aca="false">COUNTA(预测日志!A2:A1000)</f>
        <v>24</v>
      </c>
    </row>
    <row r="5" customFormat="false" ht="15" hidden="false" customHeight="true" outlineLevel="0" collapsed="false">
      <c r="A5" s="20" t="s">
        <v>144</v>
      </c>
      <c r="B5" s="21" t="n">
        <f aca="false">IFERROR(COUNTIF(预测日志!M2:M1000,"√")/B3,"-")</f>
        <v>0.565217391304348</v>
      </c>
    </row>
    <row r="6" customFormat="false" ht="15" hidden="false" customHeight="true" outlineLevel="0" collapsed="false">
      <c r="A6" s="18" t="s">
        <v>145</v>
      </c>
      <c r="B6" s="22" t="n">
        <f aca="false">IFERROR(COUNTIF(预测日志!N2:N1000,"√")/(COUNTIF(预测日志!N2:N1000,"√")+COUNTIF(预测日志!N2:N1000,"×")),"-")</f>
        <v>0.391304347826087</v>
      </c>
    </row>
    <row r="7" customFormat="false" ht="15" hidden="false" customHeight="true" outlineLevel="0" collapsed="false">
      <c r="A7" s="20" t="s">
        <v>146</v>
      </c>
      <c r="B7" s="21" t="n">
        <f aca="true">IFERROR(COUNTIF(OFFSET(预测日志!$M$1,B3-MIN(30,B3)+1,0,MIN(30,B3),1),"√")/MIN(30,B3),"-")</f>
        <v>0.565217391304348</v>
      </c>
    </row>
    <row r="8" customFormat="false" ht="15" hidden="false" customHeight="true" outlineLevel="0" collapsed="false">
      <c r="A8" s="18" t="s">
        <v>147</v>
      </c>
      <c r="B8" s="22" t="n">
        <f aca="true">IFERROR(COUNTIF(OFFSET(预测日志!$N$1,B3-MIN(30,B3)+1,0,MIN(30,B3),1),"√")/MIN(30,B3),"-")</f>
        <v>0.391304347826087</v>
      </c>
    </row>
    <row r="9" customFormat="false" ht="15" hidden="false" customHeight="true" outlineLevel="0" collapsed="false">
      <c r="A9" s="18" t="s">
        <v>148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0.529411764705882</v>
      </c>
    </row>
    <row r="10" customFormat="false" ht="15" hidden="false" customHeight="true" outlineLevel="0" collapsed="false">
      <c r="A10" s="18" t="s">
        <v>149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150</v>
      </c>
    </row>
    <row r="13" customFormat="false" ht="15" hidden="false" customHeight="true" outlineLevel="0" collapsed="false">
      <c r="A13" s="3" t="s">
        <v>151</v>
      </c>
      <c r="B13" s="1" t="n">
        <f aca="false">COUNT(预测日志!R2:R1000)</f>
        <v>24</v>
      </c>
    </row>
    <row r="14" customFormat="false" ht="15" hidden="false" customHeight="true" outlineLevel="0" collapsed="false">
      <c r="A14" s="3" t="s">
        <v>152</v>
      </c>
      <c r="B14" s="1" t="n">
        <f aca="false">COUNTIFS(预测日志!R2:R1000,"&gt;0",预测日志!M2:M1000,"√")+COUNTIFS(预测日志!R2:R1000,"&gt;0",预测日志!M2:M1000,"×")</f>
        <v>23</v>
      </c>
    </row>
    <row r="15" customFormat="false" ht="15" hidden="false" customHeight="true" outlineLevel="0" collapsed="false">
      <c r="A15" s="3" t="s">
        <v>153</v>
      </c>
      <c r="B15" s="1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155</v>
      </c>
    </row>
    <row r="3" customFormat="false" ht="15" hidden="false" customHeight="true" outlineLevel="0" collapsed="false">
      <c r="A3" s="25" t="s">
        <v>156</v>
      </c>
      <c r="B3" s="26" t="s">
        <v>157</v>
      </c>
    </row>
    <row r="4" customFormat="false" ht="15" hidden="false" customHeight="true" outlineLevel="0" collapsed="false">
      <c r="A4" s="25" t="s">
        <v>158</v>
      </c>
      <c r="B4" s="26" t="s">
        <v>159</v>
      </c>
    </row>
    <row r="5" customFormat="false" ht="15" hidden="false" customHeight="true" outlineLevel="0" collapsed="false">
      <c r="A5" s="25" t="s">
        <v>160</v>
      </c>
      <c r="B5" s="26" t="s">
        <v>161</v>
      </c>
    </row>
    <row r="6" customFormat="false" ht="15" hidden="false" customHeight="true" outlineLevel="0" collapsed="false">
      <c r="A6" s="25" t="s">
        <v>162</v>
      </c>
      <c r="B6" s="26" t="s">
        <v>163</v>
      </c>
    </row>
    <row r="7" customFormat="false" ht="15" hidden="false" customHeight="true" outlineLevel="0" collapsed="false">
      <c r="A7" s="25" t="s">
        <v>164</v>
      </c>
      <c r="B7" s="26" t="s">
        <v>165</v>
      </c>
    </row>
    <row r="8" customFormat="false" ht="15" hidden="false" customHeight="true" outlineLevel="0" collapsed="false">
      <c r="A8" s="25" t="s">
        <v>7</v>
      </c>
      <c r="B8" s="26" t="s">
        <v>166</v>
      </c>
    </row>
    <row r="9" customFormat="false" ht="15" hidden="false" customHeight="true" outlineLevel="0" collapsed="false">
      <c r="A9" s="25" t="s">
        <v>14</v>
      </c>
      <c r="B9" s="26" t="s">
        <v>167</v>
      </c>
    </row>
    <row r="10" customFormat="false" ht="15" hidden="false" customHeight="true" outlineLevel="0" collapsed="false">
      <c r="A10" s="25" t="s">
        <v>168</v>
      </c>
      <c r="B10" s="27" t="s">
        <v>169</v>
      </c>
    </row>
    <row r="11" customFormat="false" ht="15" hidden="false" customHeight="true" outlineLevel="0" collapsed="false">
      <c r="A11" s="25" t="s">
        <v>170</v>
      </c>
      <c r="B11" s="26" t="s">
        <v>171</v>
      </c>
    </row>
    <row r="12" customFormat="false" ht="15" hidden="false" customHeight="true" outlineLevel="0" collapsed="false">
      <c r="A12" s="25" t="s">
        <v>172</v>
      </c>
      <c r="B12" s="27" t="s">
        <v>173</v>
      </c>
    </row>
    <row r="13" customFormat="false" ht="15" hidden="false" customHeight="true" outlineLevel="0" collapsed="false">
      <c r="A13" s="3" t="s">
        <v>17</v>
      </c>
      <c r="B13" s="3" t="s">
        <v>174</v>
      </c>
    </row>
    <row r="14" customFormat="false" ht="15" hidden="false" customHeight="true" outlineLevel="0" collapsed="false">
      <c r="A14" s="3" t="s">
        <v>175</v>
      </c>
      <c r="B14" s="3" t="s">
        <v>176</v>
      </c>
    </row>
    <row r="15" customFormat="false" ht="15" hidden="false" customHeight="true" outlineLevel="0" collapsed="false">
      <c r="A15" s="3" t="s">
        <v>177</v>
      </c>
      <c r="B15" s="1" t="s">
        <v>178</v>
      </c>
    </row>
    <row r="16" customFormat="false" ht="15" hidden="false" customHeight="true" outlineLevel="0" collapsed="false">
      <c r="A16" s="3" t="s">
        <v>179</v>
      </c>
      <c r="B16" s="3" t="s">
        <v>180</v>
      </c>
    </row>
    <row r="17" customFormat="false" ht="15" hidden="false" customHeight="true" outlineLevel="0" collapsed="false">
      <c r="A17" s="3" t="s">
        <v>181</v>
      </c>
      <c r="B17" s="3" t="s">
        <v>182</v>
      </c>
    </row>
    <row r="18" customFormat="false" ht="15" hidden="false" customHeight="true" outlineLevel="0" collapsed="false">
      <c r="A18" s="3" t="s">
        <v>183</v>
      </c>
      <c r="B18" s="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2026-09-23T22:35:16Z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