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<sst xmlns="http://schemas.openxmlformats.org/spreadsheetml/2006/main" count="363" uniqueCount="214">
  <si>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</si>
  <si>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</si>
  <si>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</si>
  <si>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</si>
  <si>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</si>
  <si>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</si>
  <si>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</si>
  <si>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</si>
  <si>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</si>
  <si>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</si>
  <si>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</si>
  <si>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</si>
  <si>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</si>
  <si>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</si>
  <si>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</si>
  <si>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</si>
  <si>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</si>
  <si>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</si>
  <si>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</si>
  <si>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</si>
  <si>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</si>
  <si>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</si>
  <si>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</si>
  <si>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</si>
  <si>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</si>
  <si>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</si>
  <si>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</si>
  <si>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</si>
  <si>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</si>
  <si>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</si>
  <si>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</si>
  <si>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</si>
  <si>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</si>
  <si>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</si>
  <si>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</si>
  <si>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</si>
  <si>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</si>
  <si>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</si>
  <si>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</si>
  <si>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</si>
  <si>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</si>
  <si>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</si>
  <si>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</si>
  <si>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</si>
  <si>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</si>
  <si>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</si>
  <si>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</si>
  <si>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</si>
  <si>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</si>
  <si>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</si>
  <si>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</si>
  <si>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</si>
  <si>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</si>
  <si>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</si>
  <si>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</si>
  <si>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</si>
  <si>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</si>
  <si>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</si>
  <si>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</si>
  <si>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</si>
  <si>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</si>
  <si>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</si>
  <si>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</si>
  <si>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</si>
  <si>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</si>
  <si>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</si>
  <si>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</si>
  <si>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</si>
  <si>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</si>
  <si>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</si>
  <si>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</si>
  <si>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</si>
  <si>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</si>
  <si>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</si>
  <si>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</si>
  <si>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</si>
  <si>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</si>
  <si>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</si>
  <si>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</si>
  <si>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</si>
  <si>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</si>
  <si>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</si>
  <si>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</si>
  <si>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</si>
  <si>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</si>
  <si>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</si>
  <si>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</si>
  <si>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</si>
  <si>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</si>
  <si>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</si>
  <si>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</si>
  <si>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</si>
  <si>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</si>
  <si>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</si>
  <si>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</si>
  <si>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</si>
  <si>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</si>
  <si>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</si>
  <si>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</si>
  <si>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</si>
  <si>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</si>
  <si>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</si>
  <si>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</si>
  <si>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</si>
  <si>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</si>
  <si>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</si>
  <si>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</si>
  <si>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</si>
  <si>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</si>
  <si>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</si>
  <si>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</si>
  <si>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</si>
  <si>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</si>
  <si>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</si>
  <si>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</si>
  <si>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</si>
  <si>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</si>
  <si>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</si>
  <si>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</si>
  <si>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</si>
  <si>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</si>
  <si>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</si>
  <si>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</si>
  <si>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</si>
  <si>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</si>
  <si>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</si>
  <si>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</si>
  <si>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</si>
  <si>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</si>
  <si>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</si>
  <si>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</si>
  <si>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</si>
  <si>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</si>
  <si>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</si>
  <si>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</si>
  <si>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</si>
  <si>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</si>
  <si>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</si>
  <si>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</si>
  <si>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</si>
  <si>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</si>
  <si>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</si>
  <si>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</si>
  <si>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</si>
  <si>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</si>
  <si>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</si>
  <si>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</si>
  <si>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</si>
  <si>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</si>
  <si>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</si>
  <si>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</si>
  <si>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</si>
  <si>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</si>
  <si>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</si>
  <si>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</si>
  <si>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</si>
  <si>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</si>
  <si>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</si>
  <si>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</si>
  <si>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</si>
  <si>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</si>
  <si>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</si>
  <si>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</si>
  <si>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</si>
  <si>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</si>
  <si>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2026-10-05</t>
  </si>
  <si>
    <t xml:space="preserve">2026-10-05 06:32</t>
  </si>
  <si>
    <r>
      <rPr>
        <sz val="11"/>
        <color rgb="FF000000"/>
        <rFont val="Noto Sans CJK SC"/>
        <family val="2"/>
      </rPr>
      <t xml:space="preserve">趋势跌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-6.30%·9/29</t>
    </r>
    <r>
      <rPr>
        <sz val="11"/>
        <color rgb="FF000000"/>
        <rFont val="Noto Sans CJK SC"/>
        <family val="2"/>
      </rPr>
      <t xml:space="preserve">起结算价续接口径</t>
    </r>
    <r>
      <rPr>
        <sz val="11"/>
        <color rgb="FF000000"/>
        <rFont val="Calibri"/>
        <family val="2"/>
        <charset val="1"/>
      </rPr>
      <t xml:space="preserve">)·60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+1.34%</t>
    </r>
    <r>
      <rPr>
        <sz val="11"/>
        <color rgb="FF000000"/>
        <rFont val="Noto Sans CJK SC"/>
        <family val="2"/>
      </rPr>
      <t xml:space="preserve">长期钝化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-4.18%</t>
    </r>
    <r>
      <rPr>
        <sz val="11"/>
        <color rgb="FF000000"/>
        <rFont val="Noto Sans CJK SC"/>
        <family val="2"/>
      </rPr>
      <t xml:space="preserve">短期续弱</t>
    </r>
    <r>
      <rPr>
        <sz val="11"/>
        <color rgb="FF000000"/>
        <rFont val="Calibri"/>
        <family val="2"/>
        <charset val="1"/>
      </rPr>
      <t xml:space="preserve">·</t>
    </r>
    <r>
      <rPr>
        <sz val="11"/>
        <color rgb="FF000000"/>
        <rFont val="Noto Sans CJK SC"/>
        <family val="2"/>
      </rPr>
      <t xml:space="preserve">周五非农后</t>
    </r>
    <r>
      <rPr>
        <sz val="11"/>
        <color rgb="FF000000"/>
        <rFont val="Calibri"/>
        <family val="2"/>
        <charset val="1"/>
      </rPr>
      <t xml:space="preserve">-0.99%</t>
    </r>
    <r>
      <rPr>
        <sz val="11"/>
        <color rgb="FF000000"/>
        <rFont val="Noto Sans CJK SC"/>
        <family val="2"/>
      </rPr>
      <t xml:space="preserve">大跌企稳日</t>
    </r>
    <r>
      <rPr>
        <sz val="11"/>
        <color rgb="FF000000"/>
        <rFont val="Calibri"/>
        <family val="2"/>
        <charset val="1"/>
      </rPr>
      <t xml:space="preserve">·SGE</t>
    </r>
    <r>
      <rPr>
        <sz val="11"/>
        <color rgb="FF000000"/>
        <rFont val="Noto Sans CJK SC"/>
        <family val="2"/>
      </rPr>
      <t xml:space="preserve">国庆休市至</t>
    </r>
    <r>
      <rPr>
        <sz val="11"/>
        <color rgb="FF000000"/>
        <rFont val="Calibri"/>
        <family val="2"/>
        <charset val="1"/>
      </rPr>
      <t xml:space="preserve">10/7·</t>
    </r>
    <r>
      <rPr>
        <sz val="11"/>
        <color rgb="FF000000"/>
        <rFont val="Noto Sans CJK SC"/>
        <family val="2"/>
      </rPr>
      <t xml:space="preserve">本周无重大数据</t>
    </r>
  </si>
  <si>
    <r>
      <rPr>
        <sz val="11"/>
        <color rgb="FF000000"/>
        <rFont val="Noto Sans CJK SC"/>
        <family val="2"/>
      </rPr>
      <t xml:space="preserve">周五冲高</t>
    </r>
    <r>
      <rPr>
        <sz val="11"/>
        <color rgb="FF000000"/>
        <rFont val="Calibri"/>
        <family val="2"/>
        <charset val="1"/>
      </rPr>
      <t xml:space="preserve">$4,227</t>
    </r>
    <r>
      <rPr>
        <sz val="11"/>
        <color rgb="FF000000"/>
        <rFont val="Noto Sans CJK SC"/>
        <family val="2"/>
      </rPr>
      <t xml:space="preserve">遭抛回落</t>
    </r>
    <r>
      <rPr>
        <sz val="11"/>
        <color rgb="FF000000"/>
        <rFont val="Calibri"/>
        <family val="2"/>
        <charset val="1"/>
      </rPr>
      <t xml:space="preserve">-0.99%(</t>
    </r>
    <r>
      <rPr>
        <sz val="11"/>
        <color rgb="FF000000"/>
        <rFont val="Noto Sans CJK SC"/>
        <family val="2"/>
      </rPr>
      <t xml:space="preserve">非农后收益率走高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70%/12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88%</t>
    </r>
    <r>
      <rPr>
        <sz val="11"/>
        <color rgb="FF000000"/>
        <rFont val="Noto Sans CJK SC"/>
        <family val="2"/>
      </rPr>
      <t xml:space="preserve">鹰派组合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-6.30%</t>
    </r>
    <r>
      <rPr>
        <sz val="11"/>
        <color rgb="FF000000"/>
        <rFont val="Noto Sans CJK SC"/>
        <family val="2"/>
      </rPr>
      <t xml:space="preserve">趋势跌深位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$4,114-4,125</t>
    </r>
    <r>
      <rPr>
        <sz val="11"/>
        <color rgb="FF000000"/>
        <rFont val="Noto Sans CJK SC"/>
        <family val="2"/>
      </rPr>
      <t xml:space="preserve">双底带近在</t>
    </r>
    <r>
      <rPr>
        <sz val="11"/>
        <color rgb="FF000000"/>
        <rFont val="Calibri"/>
        <family val="2"/>
        <charset val="1"/>
      </rPr>
      <t xml:space="preserve">(-0.43%~-0.70%)[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11</t>
    </r>
    <r>
      <rPr>
        <sz val="11"/>
        <color rgb="FF000000"/>
        <rFont val="Noto Sans CJK SC"/>
        <family val="2"/>
      </rPr>
      <t xml:space="preserve">窗涨跌严格交替周五跌今日轮涨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连月购金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创</t>
    </r>
    <r>
      <rPr>
        <sz val="11"/>
        <color rgb="FF000000"/>
        <rFont val="Calibri"/>
        <family val="2"/>
        <charset val="1"/>
      </rPr>
      <t xml:space="preserve">2023/10</t>
    </r>
    <r>
      <rPr>
        <sz val="11"/>
        <color rgb="FF000000"/>
        <rFont val="Noto Sans CJK SC"/>
        <family val="2"/>
      </rPr>
      <t xml:space="preserve">以来最大</t>
    </r>
    <r>
      <rPr>
        <sz val="11"/>
        <color rgb="FF000000"/>
        <rFont val="Calibri"/>
        <family val="2"/>
        <charset val="1"/>
      </rPr>
      <t xml:space="preserve">)+ETF 8</t>
    </r>
    <r>
      <rPr>
        <sz val="11"/>
        <color rgb="FF000000"/>
        <rFont val="Noto Sans CJK SC"/>
        <family val="2"/>
      </rPr>
      <t xml:space="preserve">月流入</t>
    </r>
    <r>
      <rPr>
        <sz val="11"/>
        <color rgb="FF000000"/>
        <rFont val="Calibri"/>
        <family val="2"/>
        <charset val="1"/>
      </rPr>
      <t xml:space="preserve">$18bn[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回落</t>
    </r>
    <r>
      <rPr>
        <sz val="11"/>
        <color rgb="FF000000"/>
        <rFont val="Calibri"/>
        <family val="2"/>
        <charset val="1"/>
      </rPr>
      <t xml:space="preserve">15.31</t>
    </r>
    <r>
      <rPr>
        <sz val="11"/>
        <color rgb="FF000000"/>
        <rFont val="Noto Sans CJK SC"/>
        <family val="2"/>
      </rPr>
      <t xml:space="preserve">恐慌消退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押超卖修复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主路径收</t>
    </r>
    <r>
      <rPr>
        <sz val="11"/>
        <color rgb="FF000000"/>
        <rFont val="Calibri"/>
        <family val="2"/>
        <charset val="1"/>
      </rPr>
      <t xml:space="preserve">$4,155-4,172(+0.3%~+0.7%</t>
    </r>
    <r>
      <rPr>
        <sz val="11"/>
        <color rgb="FF000000"/>
        <rFont val="Noto Sans CJK SC"/>
        <family val="2"/>
      </rPr>
      <t xml:space="preserve">中档下沿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亚盘破</t>
    </r>
    <r>
      <rPr>
        <sz val="11"/>
        <color rgb="FF000000"/>
        <rFont val="Calibri"/>
        <family val="2"/>
        <charset val="1"/>
      </rPr>
      <t xml:space="preserve">$4,130</t>
    </r>
    <r>
      <rPr>
        <sz val="11"/>
        <color rgb="FF000000"/>
        <rFont val="Noto Sans CJK SC"/>
        <family val="2"/>
      </rPr>
      <t xml:space="preserve">防线则转跌</t>
    </r>
  </si>
  <si>
    <r>
      <rPr>
        <sz val="11"/>
        <color rgb="FF000000"/>
        <rFont val="Noto Sans CJK SC"/>
        <family val="2"/>
      </rPr>
      <t xml:space="preserve">周一</t>
    </r>
    <r>
      <rPr>
        <sz val="11"/>
        <color rgb="FF000000"/>
        <rFont val="Calibri"/>
        <family val="2"/>
        <charset val="1"/>
      </rPr>
      <t xml:space="preserve">06:32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);10/2</t>
    </r>
    <r>
      <rPr>
        <sz val="11"/>
        <color rgb="FF000000"/>
        <rFont val="Noto Sans CJK SC"/>
        <family val="2"/>
      </rPr>
      <t xml:space="preserve">周五晨间任务未执行→</t>
    </r>
    <r>
      <rPr>
        <sz val="11"/>
        <color rgb="FF000000"/>
        <rFont val="Calibri"/>
        <family val="2"/>
        <charset val="1"/>
      </rPr>
      <t xml:space="preserve">10/1</t>
    </r>
    <r>
      <rPr>
        <sz val="11"/>
        <color rgb="FF000000"/>
        <rFont val="Noto Sans CJK SC"/>
        <family val="2"/>
      </rPr>
      <t xml:space="preserve">行已于</t>
    </r>
    <r>
      <rPr>
        <sz val="11"/>
        <color rgb="FF000000"/>
        <rFont val="Calibri"/>
        <family val="2"/>
        <charset val="1"/>
      </rPr>
      <t xml:space="preserve">10/3</t>
    </r>
    <r>
      <rPr>
        <sz val="11"/>
        <color rgb="FF000000"/>
        <rFont val="Noto Sans CJK SC"/>
        <family val="2"/>
      </rPr>
      <t xml:space="preserve">周六补结算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涨√档</t>
    </r>
    <r>
      <rPr>
        <sz val="11"/>
        <color rgb="FF000000"/>
        <rFont val="Calibri"/>
        <family val="2"/>
        <charset val="1"/>
      </rPr>
      <t xml:space="preserve">×,</t>
    </r>
    <r>
      <rPr>
        <sz val="11"/>
        <color rgb="FF000000"/>
        <rFont val="Noto Sans CJK SC"/>
        <family val="2"/>
      </rPr>
      <t xml:space="preserve">外部双源均值</t>
    </r>
    <r>
      <rPr>
        <sz val="11"/>
        <color rgb="FF000000"/>
        <rFont val="Calibri"/>
        <family val="2"/>
        <charset val="1"/>
      </rPr>
      <t xml:space="preserve">$4,185.6),</t>
    </r>
    <r>
      <rPr>
        <sz val="11"/>
        <color rgb="FF000000"/>
        <rFont val="Noto Sans CJK SC"/>
        <family val="2"/>
      </rPr>
      <t xml:space="preserve">今晨</t>
    </r>
    <r>
      <rPr>
        <sz val="11"/>
        <color rgb="FF000000"/>
        <rFont val="Calibri"/>
        <family val="2"/>
        <charset val="1"/>
      </rPr>
      <t xml:space="preserve">settle</t>
    </r>
    <r>
      <rPr>
        <sz val="11"/>
        <color rgb="FF000000"/>
        <rFont val="Noto Sans CJK SC"/>
        <family val="2"/>
      </rPr>
      <t xml:space="preserve">无待结算行</t>
    </r>
    <r>
      <rPr>
        <sz val="11"/>
        <color rgb="FF000000"/>
        <rFont val="Calibri"/>
        <family val="2"/>
        <charset val="1"/>
      </rPr>
      <t xml:space="preserve">(10/3-10/4</t>
    </r>
    <r>
      <rPr>
        <sz val="11"/>
        <color rgb="FF000000"/>
        <rFont val="Noto Sans CJK SC"/>
        <family val="2"/>
      </rPr>
      <t xml:space="preserve">周末无行</t>
    </r>
    <r>
      <rPr>
        <sz val="11"/>
        <color rgb="FF000000"/>
        <rFont val="Calibri"/>
        <family val="2"/>
        <charset val="1"/>
      </rPr>
      <t xml:space="preserve">);</t>
    </r>
    <r>
      <rPr>
        <sz val="11"/>
        <color rgb="FF000000"/>
        <rFont val="Noto Sans CJK SC"/>
        <family val="2"/>
      </rPr>
      <t xml:space="preserve">方向续押涨非追结果</t>
    </r>
    <r>
      <rPr>
        <sz val="11"/>
        <color rgb="FF000000"/>
        <rFont val="Calibri"/>
        <family val="2"/>
        <charset val="1"/>
      </rPr>
      <t xml:space="preserve">(10/1</t>
    </r>
    <r>
      <rPr>
        <sz val="11"/>
        <color rgb="FF000000"/>
        <rFont val="Noto Sans CJK SC"/>
        <family val="2"/>
      </rPr>
      <t xml:space="preserve">押涨√后连押</t>
    </r>
    <r>
      <rPr>
        <sz val="11"/>
        <color rgb="FF000000"/>
        <rFont val="Calibri"/>
        <family val="2"/>
        <charset val="1"/>
      </rPr>
      <t xml:space="preserve">)——</t>
    </r>
    <r>
      <rPr>
        <sz val="11"/>
        <color rgb="FF000000"/>
        <rFont val="Noto Sans CJK SC"/>
        <family val="2"/>
      </rPr>
      <t xml:space="preserve">独立依据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-0.99%</t>
    </r>
    <r>
      <rPr>
        <sz val="11"/>
        <color rgb="FF000000"/>
        <rFont val="Noto Sans CJK SC"/>
        <family val="2"/>
      </rPr>
      <t xml:space="preserve">超卖宣泄落地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平开企稳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双底带上方止跌</t>
    </r>
    <r>
      <rPr>
        <sz val="11"/>
        <color rgb="FF000000"/>
        <rFont val="Calibri"/>
        <family val="2"/>
        <charset val="1"/>
      </rPr>
      <t xml:space="preserve">+11</t>
    </r>
    <r>
      <rPr>
        <sz val="11"/>
        <color rgb="FF000000"/>
        <rFont val="Noto Sans CJK SC"/>
        <family val="2"/>
      </rPr>
      <t xml:space="preserve">窗交替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档位改押中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涨窗样本全为中档</t>
    </r>
    <r>
      <rPr>
        <sz val="11"/>
        <color rgb="FF000000"/>
        <rFont val="Calibri"/>
        <family val="2"/>
        <charset val="1"/>
      </rPr>
      <t xml:space="preserve">(+0.88/+0.68)</t>
    </r>
    <r>
      <rPr>
        <sz val="11"/>
        <color rgb="FF000000"/>
        <rFont val="Noto Sans CJK SC"/>
        <family val="2"/>
      </rPr>
      <t xml:space="preserve">且</t>
    </r>
    <r>
      <rPr>
        <sz val="11"/>
        <color rgb="FF000000"/>
        <rFont val="Calibri"/>
        <family val="2"/>
        <charset val="1"/>
      </rPr>
      <t xml:space="preserve">10/1</t>
    </r>
    <r>
      <rPr>
        <sz val="11"/>
        <color rgb="FF000000"/>
        <rFont val="Noto Sans CJK SC"/>
        <family val="2"/>
      </rPr>
      <t xml:space="preserve">押小被</t>
    </r>
    <r>
      <rPr>
        <sz val="11"/>
        <color rgb="FF000000"/>
        <rFont val="Calibri"/>
        <family val="2"/>
        <charset val="1"/>
      </rPr>
      <t xml:space="preserve">+0.68%</t>
    </r>
    <r>
      <rPr>
        <sz val="11"/>
        <color rgb="FF000000"/>
        <rFont val="Noto Sans CJK SC"/>
        <family val="2"/>
      </rPr>
      <t xml:space="preserve">击穿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连续两次押小失手</t>
    </r>
    <r>
      <rPr>
        <sz val="11"/>
        <color rgb="FF000000"/>
        <rFont val="Calibri"/>
        <family val="2"/>
        <charset val="1"/>
      </rPr>
      <t xml:space="preserve">);LBMA</t>
    </r>
    <r>
      <rPr>
        <sz val="11"/>
        <color rgb="FF000000"/>
        <rFont val="Noto Sans CJK SC"/>
        <family val="2"/>
      </rPr>
      <t xml:space="preserve">仍</t>
    </r>
    <r>
      <rPr>
        <sz val="11"/>
        <color rgb="FF000000"/>
        <rFont val="Calibri"/>
        <family val="2"/>
        <charset val="1"/>
      </rPr>
      <t xml:space="preserve">403,</t>
    </r>
    <r>
      <rPr>
        <sz val="11"/>
        <color rgb="FF000000"/>
        <rFont val="Noto Sans CJK SC"/>
        <family val="2"/>
      </rPr>
      <t xml:space="preserve">基线</t>
    </r>
    <r>
      <rPr>
        <sz val="11"/>
        <color rgb="FF000000"/>
        <rFont val="Calibri"/>
        <family val="2"/>
        <charset val="1"/>
      </rPr>
      <t xml:space="preserve">9/29-10/1</t>
    </r>
    <r>
      <rPr>
        <sz val="11"/>
        <color rgb="FF000000"/>
        <rFont val="Noto Sans CJK SC"/>
        <family val="2"/>
      </rPr>
      <t xml:space="preserve">结算价续接</t>
    </r>
    <r>
      <rPr>
        <sz val="11"/>
        <color rgb="FF000000"/>
        <rFont val="Calibri"/>
        <family val="2"/>
        <charset val="1"/>
      </rPr>
      <t xml:space="preserve">,10/2</t>
    </r>
    <r>
      <rPr>
        <sz val="11"/>
        <color rgb="FF000000"/>
        <rFont val="Noto Sans CJK SC"/>
        <family val="2"/>
      </rPr>
      <t xml:space="preserve">漏采缺口已注</t>
    </r>
    <r>
      <rPr>
        <sz val="11"/>
        <color rgb="FF000000"/>
        <rFont val="Calibri"/>
        <family val="2"/>
        <charset val="1"/>
      </rPr>
      <t xml:space="preserve">source_note;</t>
    </r>
    <r>
      <rPr>
        <sz val="11"/>
        <color rgb="FF000000"/>
        <rFont val="Noto Sans CJK SC"/>
        <family val="2"/>
      </rPr>
      <t xml:space="preserve">本沙盒无</t>
    </r>
    <r>
      <rPr>
        <sz val="11"/>
        <color rgb="FF000000"/>
        <rFont val="Calibri"/>
        <family val="2"/>
        <charset val="1"/>
      </rPr>
      <t xml:space="preserve">recalc.py(</t>
    </r>
    <r>
      <rPr>
        <sz val="11"/>
        <color rgb="FF000000"/>
        <rFont val="Noto Sans CJK SC"/>
        <family val="2"/>
      </rPr>
      <t xml:space="preserve">按规则跳过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公式用</t>
    </r>
    <r>
      <rPr>
        <sz val="11"/>
        <color rgb="FF000000"/>
        <rFont val="Calibri"/>
        <family val="2"/>
        <charset val="1"/>
      </rPr>
      <t xml:space="preserve">LibreOffice</t>
    </r>
    <r>
      <rPr>
        <sz val="11"/>
        <color rgb="FF000000"/>
        <rFont val="Noto Sans CJK SC"/>
        <family val="2"/>
      </rPr>
      <t xml:space="preserve">重算</t>
    </r>
    <r>
      <rPr>
        <sz val="11"/>
        <color rgb="FF000000"/>
        <rFont val="Calibri"/>
        <family val="2"/>
        <charset val="1"/>
      </rPr>
      <t xml:space="preserve">;</t>
    </r>
    <r>
      <rPr>
        <sz val="11"/>
        <color rgb="FF000000"/>
        <rFont val="Noto Sans CJK SC"/>
        <family val="2"/>
      </rPr>
      <t xml:space="preserve">校准</t>
    </r>
    <r>
      <rPr>
        <sz val="11"/>
        <color rgb="FF000000"/>
        <rFont val="Calibri"/>
        <family val="2"/>
        <charset val="1"/>
      </rPr>
      <t xml:space="preserve">29/20</t>
    </r>
    <r>
      <rPr>
        <sz val="11"/>
        <color rgb="FF000000"/>
        <rFont val="Noto Sans CJK SC"/>
        <family val="2"/>
      </rPr>
      <t xml:space="preserve">达标良好</t>
    </r>
    <r>
      <rPr>
        <sz val="11"/>
        <color rgb="FF000000"/>
        <rFont val="Calibri"/>
        <family val="2"/>
        <charset val="1"/>
      </rPr>
      <t xml:space="preserve">+2.9pp(Brier0.2449),</t>
    </r>
    <r>
      <rPr>
        <sz val="11"/>
        <color rgb="FF000000"/>
        <rFont val="Noto Sans CJK SC"/>
        <family val="2"/>
      </rPr>
      <t xml:space="preserve">三条待改项仍待用户定夺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本判断沿用冻结前规则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</si>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</sst>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 t="s">
        <v>165</v>
      </c>
      <c r="B31" s="8" t="s">
        <v>166</v>
      </c>
      <c r="C31" s="9" t="n">
        <v>4142.8</v>
      </c>
      <c r="D31" s="17" t="s">
        <v>20</v>
      </c>
      <c r="E31" s="17" t="s">
        <v>33</v>
      </c>
      <c r="F31" s="17" t="s">
        <v>20</v>
      </c>
      <c r="G31" s="17" t="s">
        <v>33</v>
      </c>
      <c r="H31" s="17" t="s">
        <v>22</v>
      </c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17" t="s">
        <v>167</v>
      </c>
      <c r="P31" s="17" t="s">
        <v>168</v>
      </c>
      <c r="Q31" s="17" t="s">
        <v>169</v>
      </c>
      <c r="R31" s="0" t="n">
        <v>55</v>
      </c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8" t="s">
        <v>170</v>
      </c>
    </row>
    <row r="3" customFormat="false" ht="15" hidden="false" customHeight="true" outlineLevel="0" collapsed="false">
      <c r="A3" s="19" t="s">
        <v>171</v>
      </c>
      <c r="B3" s="20" t="n">
        <f aca="false">COUNTIF(预测日志!M2:M1000,"√")+COUNTIF(预测日志!M2:M1000,"×")</f>
        <v>29</v>
      </c>
    </row>
    <row r="4" customFormat="false" ht="15" hidden="false" customHeight="true" outlineLevel="0" collapsed="false">
      <c r="A4" s="19" t="s">
        <v>172</v>
      </c>
      <c r="B4" s="20" t="n">
        <f aca="false">COUNTA(预测日志!A2:A1000)</f>
        <v>30</v>
      </c>
    </row>
    <row r="5" customFormat="false" ht="15" hidden="false" customHeight="true" outlineLevel="0" collapsed="false">
      <c r="A5" s="21" t="s">
        <v>173</v>
      </c>
      <c r="B5" s="22" t="n">
        <f aca="false">IFERROR(COUNTIF(预测日志!M2:M1000,"√")/B3,"-")</f>
        <v>0.586206896551724</v>
      </c>
    </row>
    <row r="6" customFormat="false" ht="15" hidden="false" customHeight="true" outlineLevel="0" collapsed="false">
      <c r="A6" s="19" t="s">
        <v>174</v>
      </c>
      <c r="B6" s="23" t="n">
        <f aca="false">IFERROR(COUNTIF(预测日志!N2:N1000,"√")/(COUNTIF(预测日志!N2:N1000,"√")+COUNTIF(预测日志!N2:N1000,"×")),"-")</f>
        <v>0.413793103448276</v>
      </c>
    </row>
    <row r="7" customFormat="false" ht="15" hidden="false" customHeight="true" outlineLevel="0" collapsed="false">
      <c r="A7" s="21" t="s">
        <v>175</v>
      </c>
      <c r="B7" s="22" t="n">
        <f aca="true">IFERROR(COUNTIF(OFFSET(预测日志!$M$1,B3-MIN(30,B3)+1,0,MIN(30,B3),1),"√")/MIN(30,B3),"-")</f>
        <v>0.586206896551724</v>
      </c>
    </row>
    <row r="8" customFormat="false" ht="15" hidden="false" customHeight="true" outlineLevel="0" collapsed="false">
      <c r="A8" s="19" t="s">
        <v>176</v>
      </c>
      <c r="B8" s="23" t="n">
        <f aca="true">IFERROR(COUNTIF(OFFSET(预测日志!$N$1,B3-MIN(30,B3)+1,0,MIN(30,B3),1),"√")/MIN(30,B3),"-")</f>
        <v>0.413793103448276</v>
      </c>
    </row>
    <row r="9" customFormat="false" ht="15" hidden="false" customHeight="true" outlineLevel="0" collapsed="false">
      <c r="A9" s="19" t="s">
        <v>177</v>
      </c>
      <c r="B9" s="20" t="n">
        <f aca="false">IFERROR(COUNTIFS(预测日志!O2:O1000,"趋势*",预测日志!M2:M1000,"√")/(COUNTIFS(预测日志!O2:O1000,"趋势*",预测日志!M2:M1000,"√")+COUNTIFS(预测日志!O2:O1000,"趋势*",预测日志!M2:M1000,"×")),"-")</f>
        <v>0.565217391304348</v>
      </c>
    </row>
    <row r="10" customFormat="false" ht="15" hidden="false" customHeight="true" outlineLevel="0" collapsed="false">
      <c r="A10" s="19" t="s">
        <v>178</v>
      </c>
      <c r="B10" s="20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4" t="s">
        <v>179</v>
      </c>
    </row>
    <row r="13" customFormat="false" ht="15" hidden="false" customHeight="true" outlineLevel="0" collapsed="false">
      <c r="A13" s="3" t="s">
        <v>180</v>
      </c>
      <c r="B13" s="1" t="n">
        <f aca="false">COUNT(预测日志!R2:R1000)</f>
        <v>30</v>
      </c>
    </row>
    <row r="14" customFormat="false" ht="15" hidden="false" customHeight="true" outlineLevel="0" collapsed="false">
      <c r="A14" s="3" t="s">
        <v>181</v>
      </c>
      <c r="B14" s="1" t="n">
        <f aca="false">COUNTIFS(预测日志!R2:R1000,"&gt;0",预测日志!M2:M1000,"√")+COUNTIFS(预测日志!R2:R1000,"&gt;0",预测日志!M2:M1000,"×")</f>
        <v>29</v>
      </c>
    </row>
    <row r="15" customFormat="false" ht="15" hidden="false" customHeight="true" outlineLevel="0" collapsed="false">
      <c r="A15" s="3" t="s">
        <v>182</v>
      </c>
      <c r="B15" s="1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5" t="s">
        <v>184</v>
      </c>
    </row>
    <row r="3" customFormat="false" ht="15" hidden="false" customHeight="true" outlineLevel="0" collapsed="false">
      <c r="A3" s="26" t="s">
        <v>185</v>
      </c>
      <c r="B3" s="27" t="s">
        <v>186</v>
      </c>
    </row>
    <row r="4" customFormat="false" ht="15" hidden="false" customHeight="true" outlineLevel="0" collapsed="false">
      <c r="A4" s="26" t="s">
        <v>187</v>
      </c>
      <c r="B4" s="27" t="s">
        <v>188</v>
      </c>
    </row>
    <row r="5" customFormat="false" ht="15" hidden="false" customHeight="true" outlineLevel="0" collapsed="false">
      <c r="A5" s="26" t="s">
        <v>189</v>
      </c>
      <c r="B5" s="27" t="s">
        <v>190</v>
      </c>
    </row>
    <row r="6" customFormat="false" ht="15" hidden="false" customHeight="true" outlineLevel="0" collapsed="false">
      <c r="A6" s="26" t="s">
        <v>191</v>
      </c>
      <c r="B6" s="27" t="s">
        <v>192</v>
      </c>
    </row>
    <row r="7" customFormat="false" ht="15" hidden="false" customHeight="true" outlineLevel="0" collapsed="false">
      <c r="A7" s="26" t="s">
        <v>193</v>
      </c>
      <c r="B7" s="27" t="s">
        <v>194</v>
      </c>
    </row>
    <row r="8" customFormat="false" ht="15" hidden="false" customHeight="true" outlineLevel="0" collapsed="false">
      <c r="A8" s="26" t="s">
        <v>7</v>
      </c>
      <c r="B8" s="27" t="s">
        <v>195</v>
      </c>
    </row>
    <row r="9" customFormat="false" ht="15" hidden="false" customHeight="true" outlineLevel="0" collapsed="false">
      <c r="A9" s="26" t="s">
        <v>14</v>
      </c>
      <c r="B9" s="27" t="s">
        <v>196</v>
      </c>
    </row>
    <row r="10" customFormat="false" ht="15" hidden="false" customHeight="true" outlineLevel="0" collapsed="false">
      <c r="A10" s="26" t="s">
        <v>197</v>
      </c>
      <c r="B10" s="28" t="s">
        <v>198</v>
      </c>
    </row>
    <row r="11" customFormat="false" ht="15" hidden="false" customHeight="true" outlineLevel="0" collapsed="false">
      <c r="A11" s="26" t="s">
        <v>199</v>
      </c>
      <c r="B11" s="27" t="s">
        <v>200</v>
      </c>
    </row>
    <row r="12" customFormat="false" ht="15" hidden="false" customHeight="true" outlineLevel="0" collapsed="false">
      <c r="A12" s="26" t="s">
        <v>201</v>
      </c>
      <c r="B12" s="28" t="s">
        <v>202</v>
      </c>
    </row>
    <row r="13" customFormat="false" ht="15" hidden="false" customHeight="true" outlineLevel="0" collapsed="false">
      <c r="A13" s="3" t="s">
        <v>17</v>
      </c>
      <c r="B13" s="3" t="s">
        <v>203</v>
      </c>
    </row>
    <row r="14" customFormat="false" ht="15" hidden="false" customHeight="true" outlineLevel="0" collapsed="false">
      <c r="A14" s="3" t="s">
        <v>204</v>
      </c>
      <c r="B14" s="3" t="s">
        <v>205</v>
      </c>
    </row>
    <row r="15" customFormat="false" ht="15" hidden="false" customHeight="true" outlineLevel="0" collapsed="false">
      <c r="A15" s="3" t="s">
        <v>206</v>
      </c>
      <c r="B15" s="1" t="s">
        <v>207</v>
      </c>
    </row>
    <row r="16" customFormat="false" ht="15" hidden="false" customHeight="true" outlineLevel="0" collapsed="false">
      <c r="A16" s="3" t="s">
        <v>208</v>
      </c>
      <c r="B16" s="3" t="s">
        <v>209</v>
      </c>
    </row>
    <row r="17" customFormat="false" ht="15" hidden="false" customHeight="true" outlineLevel="0" collapsed="false">
      <c r="A17" s="3" t="s">
        <v>210</v>
      </c>
      <c r="B17" s="3" t="s">
        <v>211</v>
      </c>
    </row>
    <row r="18" customFormat="false" ht="15" hidden="false" customHeight="true" outlineLevel="0" collapsed="false">
      <c r="A18" s="3" t="s">
        <v>212</v>
      </c>
      <c r="B18" s="3" t="s">
        <v>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2026-10-04T22:35:31Z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