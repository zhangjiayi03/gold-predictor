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<sst xmlns="http://schemas.openxmlformats.org/spreadsheetml/2006/main" count="165" uniqueCount="116">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</sst>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2" t="s">
        <v>72</v>
      </c>
    </row>
    <row r="3" customFormat="false" ht="15" hidden="false" customHeight="true" outlineLevel="0" collapsed="false">
      <c r="A3" s="13" t="s">
        <v>73</v>
      </c>
      <c r="B3" s="14" t="n">
        <f aca="false">COUNTIF(预测日志!M2:M1000,"√")+COUNTIF(预测日志!M2:M1000,"×")</f>
        <v>10</v>
      </c>
    </row>
    <row r="4" customFormat="false" ht="15" hidden="false" customHeight="true" outlineLevel="0" collapsed="false">
      <c r="A4" s="13" t="s">
        <v>74</v>
      </c>
      <c r="B4" s="14" t="n">
        <f aca="false">COUNTA(预测日志!A2:A1000)</f>
        <v>10</v>
      </c>
    </row>
    <row r="5" customFormat="false" ht="15" hidden="false" customHeight="true" outlineLevel="0" collapsed="false">
      <c r="A5" s="15" t="s">
        <v>75</v>
      </c>
      <c r="B5" s="16" t="n">
        <f aca="false">IFERROR(COUNTIF(预测日志!M2:M1000,"√")/B3,"-")</f>
        <v>0.7</v>
      </c>
    </row>
    <row r="6" customFormat="false" ht="15" hidden="false" customHeight="true" outlineLevel="0" collapsed="false">
      <c r="A6" s="13" t="s">
        <v>76</v>
      </c>
      <c r="B6" s="17" t="n">
        <f aca="false">IFERROR(COUNTIF(预测日志!N2:N1000,"√")/(COUNTIF(预测日志!N2:N1000,"√")+COUNTIF(预测日志!N2:N1000,"×")),"-")</f>
        <v>0.3</v>
      </c>
    </row>
    <row r="7" customFormat="false" ht="15" hidden="false" customHeight="true" outlineLevel="0" collapsed="false">
      <c r="A7" s="15" t="s">
        <v>77</v>
      </c>
      <c r="B7" s="16" t="n">
        <f aca="true">IFERROR(COUNTIF(OFFSET(预测日志!$M$1,B3-MIN(30,B3)+1,0,MIN(30,B3),1),"√")/MIN(30,B3),"-")</f>
        <v>0.7</v>
      </c>
    </row>
    <row r="8" customFormat="false" ht="15" hidden="false" customHeight="true" outlineLevel="0" collapsed="false">
      <c r="A8" s="13" t="s">
        <v>78</v>
      </c>
      <c r="B8" s="17" t="n">
        <f aca="true">IFERROR(COUNTIF(OFFSET(预测日志!$N$1,B3-MIN(30,B3)+1,0,MIN(30,B3),1),"√")/MIN(30,B3),"-")</f>
        <v>0.3</v>
      </c>
    </row>
    <row r="9" customFormat="false" ht="15" hidden="false" customHeight="true" outlineLevel="0" collapsed="false">
      <c r="A9" s="13" t="s">
        <v>79</v>
      </c>
      <c r="B9" s="14" t="n">
        <f aca="false">IFERROR(COUNTIFS(预测日志!O2:O1000,"趋势*",预测日志!M2:M1000,"√")/(COUNTIFS(预测日志!O2:O1000,"趋势*",预测日志!M2:M1000,"√")+COUNTIFS(预测日志!O2:O1000,"趋势*",预测日志!M2:M1000,"×")),"-")</f>
        <v>0.7</v>
      </c>
    </row>
    <row r="10" customFormat="false" ht="15" hidden="false" customHeight="true" outlineLevel="0" collapsed="false">
      <c r="A10" s="13" t="s">
        <v>80</v>
      </c>
      <c r="B10" s="14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8" t="s">
        <v>81</v>
      </c>
    </row>
    <row r="13" customFormat="false" ht="15" hidden="false" customHeight="true" outlineLevel="0" collapsed="false">
      <c r="A13" s="3" t="s">
        <v>82</v>
      </c>
      <c r="B13" s="1" t="n">
        <f aca="false">COUNT(预测日志!R2:R1000)</f>
        <v>10</v>
      </c>
    </row>
    <row r="14" customFormat="false" ht="15" hidden="false" customHeight="true" outlineLevel="0" collapsed="false">
      <c r="A14" s="3" t="s">
        <v>83</v>
      </c>
      <c r="B14" s="1" t="n">
        <f aca="false">COUNTIFS(预测日志!R2:R1000,"&gt;0",预测日志!M2:M1000,"√")+COUNTIFS(预测日志!R2:R1000,"&gt;0",预测日志!M2:M1000,"×")</f>
        <v>10</v>
      </c>
    </row>
    <row r="15" customFormat="false" ht="15" hidden="false" customHeight="true" outlineLevel="0" collapsed="false">
      <c r="A15" s="3" t="s">
        <v>84</v>
      </c>
      <c r="B15" s="1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19" t="s">
        <v>86</v>
      </c>
    </row>
    <row r="3" customFormat="false" ht="15" hidden="false" customHeight="true" outlineLevel="0" collapsed="false">
      <c r="A3" s="20" t="s">
        <v>87</v>
      </c>
      <c r="B3" s="21" t="s">
        <v>88</v>
      </c>
    </row>
    <row r="4" customFormat="false" ht="15" hidden="false" customHeight="true" outlineLevel="0" collapsed="false">
      <c r="A4" s="20" t="s">
        <v>89</v>
      </c>
      <c r="B4" s="21" t="s">
        <v>90</v>
      </c>
    </row>
    <row r="5" customFormat="false" ht="15" hidden="false" customHeight="true" outlineLevel="0" collapsed="false">
      <c r="A5" s="20" t="s">
        <v>91</v>
      </c>
      <c r="B5" s="21" t="s">
        <v>92</v>
      </c>
    </row>
    <row r="6" customFormat="false" ht="15" hidden="false" customHeight="true" outlineLevel="0" collapsed="false">
      <c r="A6" s="20" t="s">
        <v>93</v>
      </c>
      <c r="B6" s="21" t="s">
        <v>94</v>
      </c>
    </row>
    <row r="7" customFormat="false" ht="15" hidden="false" customHeight="true" outlineLevel="0" collapsed="false">
      <c r="A7" s="20" t="s">
        <v>95</v>
      </c>
      <c r="B7" s="21" t="s">
        <v>96</v>
      </c>
    </row>
    <row r="8" customFormat="false" ht="15" hidden="false" customHeight="true" outlineLevel="0" collapsed="false">
      <c r="A8" s="20" t="s">
        <v>7</v>
      </c>
      <c r="B8" s="21" t="s">
        <v>97</v>
      </c>
    </row>
    <row r="9" customFormat="false" ht="15" hidden="false" customHeight="true" outlineLevel="0" collapsed="false">
      <c r="A9" s="20" t="s">
        <v>14</v>
      </c>
      <c r="B9" s="21" t="s">
        <v>98</v>
      </c>
    </row>
    <row r="10" customFormat="false" ht="15" hidden="false" customHeight="true" outlineLevel="0" collapsed="false">
      <c r="A10" s="20" t="s">
        <v>99</v>
      </c>
      <c r="B10" s="22" t="s">
        <v>100</v>
      </c>
    </row>
    <row r="11" customFormat="false" ht="15" hidden="false" customHeight="true" outlineLevel="0" collapsed="false">
      <c r="A11" s="20" t="s">
        <v>101</v>
      </c>
      <c r="B11" s="21" t="s">
        <v>102</v>
      </c>
    </row>
    <row r="12" customFormat="false" ht="15" hidden="false" customHeight="true" outlineLevel="0" collapsed="false">
      <c r="A12" s="20" t="s">
        <v>103</v>
      </c>
      <c r="B12" s="22" t="s">
        <v>104</v>
      </c>
    </row>
    <row r="13" customFormat="false" ht="15" hidden="false" customHeight="true" outlineLevel="0" collapsed="false">
      <c r="A13" s="3" t="s">
        <v>17</v>
      </c>
      <c r="B13" s="3" t="s">
        <v>105</v>
      </c>
    </row>
    <row r="14" customFormat="false" ht="15" hidden="false" customHeight="true" outlineLevel="0" collapsed="false">
      <c r="A14" s="3" t="s">
        <v>106</v>
      </c>
      <c r="B14" s="3" t="s">
        <v>107</v>
      </c>
    </row>
    <row r="15" customFormat="false" ht="15" hidden="false" customHeight="true" outlineLevel="0" collapsed="false">
      <c r="A15" s="3" t="s">
        <v>108</v>
      </c>
      <c r="B15" s="1" t="s">
        <v>109</v>
      </c>
    </row>
    <row r="16" customFormat="false" ht="15" hidden="false" customHeight="true" outlineLevel="0" collapsed="false">
      <c r="A16" s="3" t="s">
        <v>110</v>
      </c>
      <c r="B16" s="3" t="s">
        <v>111</v>
      </c>
    </row>
    <row r="17" customFormat="false" ht="15" hidden="false" customHeight="true" outlineLevel="0" collapsed="false">
      <c r="A17" s="3" t="s">
        <v>112</v>
      </c>
      <c r="B17" s="3" t="s">
        <v>113</v>
      </c>
    </row>
    <row r="18" customFormat="false" ht="15" hidden="false" customHeight="true" outlineLevel="0" collapsed="false">
      <c r="A18" s="3" t="s">
        <v>114</v>
      </c>
      <c r="B18" s="3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2026-09-04T22:31:10Z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