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<sst xmlns="http://schemas.openxmlformats.org/spreadsheetml/2006/main" count="224" uniqueCount="145">
  <si>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</si>
  <si>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</si>
  <si>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</si>
  <si>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</si>
  <si>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</si>
  <si>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</si>
  <si>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</si>
  <si>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</si>
  <si>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</si>
  <si>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</si>
  <si>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</si>
  <si>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</si>
  <si>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</si>
  <si>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</si>
  <si>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</si>
  <si>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</si>
  <si>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</si>
  <si>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</si>
  <si>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</si>
  <si>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</si>
  <si>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</si>
  <si>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</si>
  <si>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</si>
  <si>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</si>
  <si>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</si>
  <si>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</si>
  <si>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</si>
  <si>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</si>
  <si>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</si>
  <si>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</si>
  <si>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</si>
  <si>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</si>
  <si>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</si>
  <si>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</si>
  <si>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</si>
  <si>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</si>
  <si>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</si>
  <si>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</si>
  <si>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</si>
  <si>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</si>
  <si>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</si>
  <si>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</si>
  <si>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</si>
  <si>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</si>
  <si>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</si>
  <si>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</si>
  <si>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</si>
  <si>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</si>
  <si>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</si>
  <si>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</si>
  <si>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</si>
  <si>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</si>
  <si>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</si>
  <si>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</si>
  <si>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</si>
  <si>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</si>
  <si>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</si>
  <si>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</si>
  <si>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</si>
  <si>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</si>
  <si>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</si>
  <si>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</si>
  <si>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</si>
  <si>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</si>
  <si>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</si>
  <si>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</si>
  <si>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</si>
  <si>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</si>
  <si>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</si>
  <si>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</si>
  <si>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</si>
  <si>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</si>
  <si>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</si>
  <si>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</si>
  <si>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</si>
  <si>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</si>
  <si>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</si>
  <si>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</si>
  <si>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</si>
  <si>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</si>
  <si>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</si>
  <si>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</si>
  <si>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</si>
  <si>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</si>
  <si>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</si>
  <si>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</si>
  <si>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</si>
  <si>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</si>
  <si>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</si>
  <si>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</si>
  <si>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</si>
  <si>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</si>
  <si>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</si>
  <si>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</si>
  <si>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</si>
  <si>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</si>
  <si>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</si>
  <si>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06:47</t>
  </si>
  <si>
    <r>
      <rPr>
        <sz val="11"/>
        <color rgb="FF000000"/>
        <rFont val="Noto Sans CJK SC"/>
        <family val="2"/>
      </rPr>
      <t xml:space="preserve">震荡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+0.3%</t>
    </r>
    <r>
      <rPr>
        <sz val="11"/>
        <color rgb="FF000000"/>
        <rFont val="Noto Sans CJK SC"/>
        <family val="2"/>
      </rPr>
      <t xml:space="preserve">锯齿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伴长短期背离</t>
    </r>
    <r>
      <rPr>
        <sz val="11"/>
        <color rgb="FF000000"/>
        <rFont val="Calibri"/>
        <family val="2"/>
        <charset val="1"/>
      </rPr>
      <t xml:space="preserve">(60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+5.67%</t>
    </r>
    <r>
      <rPr>
        <sz val="11"/>
        <color rgb="FF000000"/>
        <rFont val="Noto Sans CJK SC"/>
        <family val="2"/>
      </rPr>
      <t xml:space="preserve">长期趋势涨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-4.00%</t>
    </r>
    <r>
      <rPr>
        <sz val="11"/>
        <color rgb="FF000000"/>
        <rFont val="Noto Sans CJK SC"/>
        <family val="2"/>
      </rPr>
      <t xml:space="preserve">短期回调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4300</t>
    </r>
    <r>
      <rPr>
        <sz val="11"/>
        <color rgb="FF000000"/>
        <rFont val="Noto Sans CJK SC"/>
        <family val="2"/>
      </rPr>
      <t xml:space="preserve">假破位反弹受阻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回落收</t>
    </r>
    <r>
      <rPr>
        <sz val="11"/>
        <color rgb="FF000000"/>
        <rFont val="Calibri"/>
        <family val="2"/>
        <charset val="1"/>
      </rPr>
      <t xml:space="preserve">4349.7,</t>
    </r>
    <r>
      <rPr>
        <sz val="11"/>
        <color rgb="FF000000"/>
        <rFont val="Noto Sans CJK SC"/>
        <family val="2"/>
      </rPr>
      <t xml:space="preserve">今晨软开</t>
    </r>
    <r>
      <rPr>
        <sz val="11"/>
        <color rgb="FF000000"/>
        <rFont val="Calibri"/>
        <family val="2"/>
        <charset val="1"/>
      </rPr>
      <t xml:space="preserve">4337</t>
    </r>
    <r>
      <rPr>
        <sz val="11"/>
        <color rgb="FF000000"/>
        <rFont val="Noto Sans CJK SC"/>
        <family val="2"/>
      </rPr>
      <t xml:space="preserve">重回百日线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下方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</si>
  <si>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</si>
  <si>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r>
      <rPr>
        <sz val="11"/>
        <color rgb="FF000000"/>
        <rFont val="Noto Sans CJK SC"/>
        <family val="2"/>
      </rPr>
      <t xml:space="preserve">周一</t>
    </r>
    <r>
      <rPr>
        <sz val="11"/>
        <color rgb="FF000000"/>
        <rFont val="Calibri"/>
        <family val="2"/>
        <charset val="1"/>
      </rPr>
      <t xml:space="preserve">06:47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决议北京周四</t>
    </r>
    <r>
      <rPr>
        <sz val="11"/>
        <color rgb="FF000000"/>
        <rFont val="Calibri"/>
        <family val="2"/>
        <charset val="1"/>
      </rPr>
      <t xml:space="preserve">02:00</t>
    </r>
    <r>
      <rPr>
        <sz val="11"/>
        <color rgb="FF000000"/>
        <rFont val="Noto Sans CJK SC"/>
        <family val="2"/>
      </rPr>
      <t xml:space="preserve">不在今日窗口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不触发事件降档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周五冲高回落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今晨软开；</t>
    </r>
    <r>
      <rPr>
        <sz val="11"/>
        <color rgb="FF000000"/>
        <rFont val="Calibri"/>
        <family val="2"/>
        <charset val="1"/>
      </rPr>
      <t xml:space="preserve">9/11</t>
    </r>
    <r>
      <rPr>
        <sz val="11"/>
        <color rgb="FF000000"/>
        <rFont val="Noto Sans CJK SC"/>
        <family val="2"/>
      </rPr>
      <t xml:space="preserve">结算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55% vs </t>
    </r>
    <r>
      <rPr>
        <sz val="11"/>
        <color rgb="FF000000"/>
        <rFont val="Noto Sans CJK SC"/>
        <family val="2"/>
      </rPr>
      <t xml:space="preserve">实际</t>
    </r>
    <r>
      <rPr>
        <sz val="11"/>
        <color rgb="FF000000"/>
        <rFont val="Calibri"/>
        <family val="2"/>
        <charset val="1"/>
      </rPr>
      <t xml:space="preserve">+0.69%</t>
    </r>
    <r>
      <rPr>
        <sz val="11"/>
        <color rgb="FF000000"/>
        <rFont val="Noto Sans CJK SC"/>
        <family val="2"/>
      </rPr>
      <t xml:space="preserve">涨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方向</t>
    </r>
    <r>
      <rPr>
        <sz val="11"/>
        <color rgb="FF000000"/>
        <rFont val="Calibri"/>
        <family val="2"/>
        <charset val="1"/>
      </rPr>
      <t xml:space="preserve">×</t>
    </r>
    <r>
      <rPr>
        <sz val="11"/>
        <color rgb="FF000000"/>
        <rFont val="Noto Sans CJK SC"/>
        <family val="2"/>
      </rPr>
      <t xml:space="preserve">档位√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后基于当日信号独立判断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非追结果式；规则冻结期沿用既有规则；累计方向</t>
    </r>
    <r>
      <rPr>
        <sz val="11"/>
        <color rgb="FF000000"/>
        <rFont val="Calibri"/>
        <family val="2"/>
        <charset val="1"/>
      </rPr>
      <t xml:space="preserve">8/15</t>
    </r>
    <r>
      <rPr>
        <sz val="11"/>
        <color rgb="FF000000"/>
        <rFont val="Noto Sans CJK SC"/>
        <family val="2"/>
      </rPr>
      <t xml:space="preserve">、档位</t>
    </r>
    <r>
      <rPr>
        <sz val="11"/>
        <color rgb="FF000000"/>
        <rFont val="Calibri"/>
        <family val="2"/>
        <charset val="1"/>
      </rPr>
      <t xml:space="preserve">5/15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</si>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</sst>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6" t="s">
        <v>44</v>
      </c>
      <c r="E17" s="16" t="s">
        <v>33</v>
      </c>
      <c r="F17" s="16" t="s">
        <v>44</v>
      </c>
      <c r="G17" s="16" t="s">
        <v>33</v>
      </c>
      <c r="H17" s="16" t="s">
        <v>22</v>
      </c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16" t="s">
        <v>98</v>
      </c>
      <c r="P17" s="8" t="s">
        <v>99</v>
      </c>
      <c r="Q17" s="16" t="s">
        <v>100</v>
      </c>
      <c r="R17" s="0" t="n">
        <v>55</v>
      </c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101</v>
      </c>
    </row>
    <row r="3" customFormat="false" ht="15" hidden="false" customHeight="true" outlineLevel="0" collapsed="false">
      <c r="A3" s="18" t="s">
        <v>102</v>
      </c>
      <c r="B3" s="19" t="n">
        <f aca="false">COUNTIF(预测日志!M2:M1000,"√")+COUNTIF(预测日志!M2:M1000,"×")</f>
        <v>15</v>
      </c>
    </row>
    <row r="4" customFormat="false" ht="15" hidden="false" customHeight="true" outlineLevel="0" collapsed="false">
      <c r="A4" s="18" t="s">
        <v>103</v>
      </c>
      <c r="B4" s="19" t="n">
        <f aca="false">COUNTA(预测日志!A2:A1000)</f>
        <v>16</v>
      </c>
    </row>
    <row r="5" customFormat="false" ht="15" hidden="false" customHeight="true" outlineLevel="0" collapsed="false">
      <c r="A5" s="20" t="s">
        <v>104</v>
      </c>
      <c r="B5" s="21" t="n">
        <f aca="false">IFERROR(COUNTIF(预测日志!M2:M1000,"√")/B3,"-")</f>
        <v>0.533333333333333</v>
      </c>
    </row>
    <row r="6" customFormat="false" ht="15" hidden="false" customHeight="true" outlineLevel="0" collapsed="false">
      <c r="A6" s="18" t="s">
        <v>105</v>
      </c>
      <c r="B6" s="22" t="n">
        <f aca="false">IFERROR(COUNTIF(预测日志!N2:N1000,"√")/(COUNTIF(预测日志!N2:N1000,"√")+COUNTIF(预测日志!N2:N1000,"×")),"-")</f>
        <v>0.333333333333333</v>
      </c>
    </row>
    <row r="7" customFormat="false" ht="15" hidden="false" customHeight="true" outlineLevel="0" collapsed="false">
      <c r="A7" s="20" t="s">
        <v>106</v>
      </c>
      <c r="B7" s="21" t="n">
        <f aca="true">IFERROR(COUNTIF(OFFSET(预测日志!$M$1,B3-MIN(30,B3)+1,0,MIN(30,B3),1),"√")/MIN(30,B3),"-")</f>
        <v>0.533333333333333</v>
      </c>
    </row>
    <row r="8" customFormat="false" ht="15" hidden="false" customHeight="true" outlineLevel="0" collapsed="false">
      <c r="A8" s="18" t="s">
        <v>107</v>
      </c>
      <c r="B8" s="22" t="n">
        <f aca="true">IFERROR(COUNTIF(OFFSET(预测日志!$N$1,B3-MIN(30,B3)+1,0,MIN(30,B3),1),"√")/MIN(30,B3),"-")</f>
        <v>0.333333333333333</v>
      </c>
    </row>
    <row r="9" customFormat="false" ht="15" hidden="false" customHeight="true" outlineLevel="0" collapsed="false">
      <c r="A9" s="18" t="s">
        <v>108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0.583333333333333</v>
      </c>
    </row>
    <row r="10" customFormat="false" ht="15" hidden="false" customHeight="true" outlineLevel="0" collapsed="false">
      <c r="A10" s="18" t="s">
        <v>109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110</v>
      </c>
    </row>
    <row r="13" customFormat="false" ht="15" hidden="false" customHeight="true" outlineLevel="0" collapsed="false">
      <c r="A13" s="3" t="s">
        <v>111</v>
      </c>
      <c r="B13" s="1" t="n">
        <f aca="false">COUNT(预测日志!R2:R1000)</f>
        <v>16</v>
      </c>
    </row>
    <row r="14" customFormat="false" ht="15" hidden="false" customHeight="true" outlineLevel="0" collapsed="false">
      <c r="A14" s="3" t="s">
        <v>112</v>
      </c>
      <c r="B14" s="1" t="n">
        <f aca="false">COUNTIFS(预测日志!R2:R1000,"&gt;0",预测日志!M2:M1000,"√")+COUNTIFS(预测日志!R2:R1000,"&gt;0",预测日志!M2:M1000,"×")</f>
        <v>15</v>
      </c>
    </row>
    <row r="15" customFormat="false" ht="15" hidden="false" customHeight="true" outlineLevel="0" collapsed="false">
      <c r="A15" s="3" t="s">
        <v>113</v>
      </c>
      <c r="B15" s="1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115</v>
      </c>
    </row>
    <row r="3" customFormat="false" ht="15" hidden="false" customHeight="true" outlineLevel="0" collapsed="false">
      <c r="A3" s="25" t="s">
        <v>116</v>
      </c>
      <c r="B3" s="26" t="s">
        <v>117</v>
      </c>
    </row>
    <row r="4" customFormat="false" ht="15" hidden="false" customHeight="true" outlineLevel="0" collapsed="false">
      <c r="A4" s="25" t="s">
        <v>118</v>
      </c>
      <c r="B4" s="26" t="s">
        <v>119</v>
      </c>
    </row>
    <row r="5" customFormat="false" ht="15" hidden="false" customHeight="true" outlineLevel="0" collapsed="false">
      <c r="A5" s="25" t="s">
        <v>120</v>
      </c>
      <c r="B5" s="26" t="s">
        <v>121</v>
      </c>
    </row>
    <row r="6" customFormat="false" ht="15" hidden="false" customHeight="true" outlineLevel="0" collapsed="false">
      <c r="A6" s="25" t="s">
        <v>122</v>
      </c>
      <c r="B6" s="26" t="s">
        <v>123</v>
      </c>
    </row>
    <row r="7" customFormat="false" ht="15" hidden="false" customHeight="true" outlineLevel="0" collapsed="false">
      <c r="A7" s="25" t="s">
        <v>124</v>
      </c>
      <c r="B7" s="26" t="s">
        <v>125</v>
      </c>
    </row>
    <row r="8" customFormat="false" ht="15" hidden="false" customHeight="true" outlineLevel="0" collapsed="false">
      <c r="A8" s="25" t="s">
        <v>7</v>
      </c>
      <c r="B8" s="26" t="s">
        <v>126</v>
      </c>
    </row>
    <row r="9" customFormat="false" ht="15" hidden="false" customHeight="true" outlineLevel="0" collapsed="false">
      <c r="A9" s="25" t="s">
        <v>14</v>
      </c>
      <c r="B9" s="26" t="s">
        <v>127</v>
      </c>
    </row>
    <row r="10" customFormat="false" ht="15" hidden="false" customHeight="true" outlineLevel="0" collapsed="false">
      <c r="A10" s="25" t="s">
        <v>128</v>
      </c>
      <c r="B10" s="27" t="s">
        <v>129</v>
      </c>
    </row>
    <row r="11" customFormat="false" ht="15" hidden="false" customHeight="true" outlineLevel="0" collapsed="false">
      <c r="A11" s="25" t="s">
        <v>130</v>
      </c>
      <c r="B11" s="26" t="s">
        <v>131</v>
      </c>
    </row>
    <row r="12" customFormat="false" ht="15" hidden="false" customHeight="true" outlineLevel="0" collapsed="false">
      <c r="A12" s="25" t="s">
        <v>132</v>
      </c>
      <c r="B12" s="27" t="s">
        <v>133</v>
      </c>
    </row>
    <row r="13" customFormat="false" ht="15" hidden="false" customHeight="true" outlineLevel="0" collapsed="false">
      <c r="A13" s="3" t="s">
        <v>17</v>
      </c>
      <c r="B13" s="3" t="s">
        <v>134</v>
      </c>
    </row>
    <row r="14" customFormat="false" ht="15" hidden="false" customHeight="true" outlineLevel="0" collapsed="false">
      <c r="A14" s="3" t="s">
        <v>135</v>
      </c>
      <c r="B14" s="3" t="s">
        <v>136</v>
      </c>
    </row>
    <row r="15" customFormat="false" ht="15" hidden="false" customHeight="true" outlineLevel="0" collapsed="false">
      <c r="A15" s="3" t="s">
        <v>137</v>
      </c>
      <c r="B15" s="1" t="s">
        <v>138</v>
      </c>
    </row>
    <row r="16" customFormat="false" ht="15" hidden="false" customHeight="true" outlineLevel="0" collapsed="false">
      <c r="A16" s="3" t="s">
        <v>139</v>
      </c>
      <c r="B16" s="3" t="s">
        <v>140</v>
      </c>
    </row>
    <row r="17" customFormat="false" ht="15" hidden="false" customHeight="true" outlineLevel="0" collapsed="false">
      <c r="A17" s="3" t="s">
        <v>141</v>
      </c>
      <c r="B17" s="3" t="s">
        <v>142</v>
      </c>
    </row>
    <row r="18" customFormat="false" ht="15" hidden="false" customHeight="true" outlineLevel="0" collapsed="false">
      <c r="A18" s="3" t="s">
        <v>143</v>
      </c>
      <c r="B18" s="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2026-09-13T22:41:56Z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