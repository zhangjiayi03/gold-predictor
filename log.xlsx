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<sst xmlns="http://schemas.openxmlformats.org/spreadsheetml/2006/main" count="353" uniqueCount="209">
  <si>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</si>
  <si>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</si>
  <si>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</si>
  <si>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</si>
  <si>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</si>
  <si>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</si>
  <si>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</si>
  <si>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</si>
  <si>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</si>
  <si>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</si>
  <si>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</si>
  <si>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</si>
  <si>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</si>
  <si>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</si>
  <si>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</si>
  <si>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</si>
  <si>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</si>
  <si>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</si>
  <si>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</si>
  <si>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</si>
  <si>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</si>
  <si>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</si>
  <si>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</si>
  <si>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</si>
  <si>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</si>
  <si>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</si>
  <si>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</si>
  <si>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</si>
  <si>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</si>
  <si>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</si>
  <si>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</si>
  <si>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</si>
  <si>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</si>
  <si>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</si>
  <si>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</si>
  <si>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</si>
  <si>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</si>
  <si>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</si>
  <si>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</si>
  <si>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</si>
  <si>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</si>
  <si>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</si>
  <si>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</si>
  <si>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</si>
  <si>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</si>
  <si>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</si>
  <si>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</si>
  <si>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</si>
  <si>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</si>
  <si>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</si>
  <si>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</si>
  <si>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</si>
  <si>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</si>
  <si>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</si>
  <si>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</si>
  <si>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</si>
  <si>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</si>
  <si>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</si>
  <si>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</si>
  <si>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</si>
  <si>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</si>
  <si>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</si>
  <si>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</si>
  <si>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</si>
  <si>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</si>
  <si>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</si>
  <si>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</si>
  <si>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</si>
  <si>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</si>
  <si>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</si>
  <si>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</si>
  <si>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</si>
  <si>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</si>
  <si>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</si>
  <si>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</si>
  <si>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</si>
  <si>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</si>
  <si>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</si>
  <si>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</si>
  <si>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</si>
  <si>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</si>
  <si>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</si>
  <si>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</si>
  <si>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</si>
  <si>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</si>
  <si>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</si>
  <si>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</si>
  <si>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</si>
  <si>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</si>
  <si>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</si>
  <si>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</si>
  <si>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</si>
  <si>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</si>
  <si>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</si>
  <si>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</si>
  <si>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</si>
  <si>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</si>
  <si>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</si>
  <si>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</si>
  <si>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</si>
  <si>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</si>
  <si>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</si>
  <si>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</si>
  <si>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</si>
  <si>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</si>
  <si>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</si>
  <si>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</si>
  <si>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</si>
  <si>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</si>
  <si>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</si>
  <si>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</si>
  <si>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</si>
  <si>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</si>
  <si>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</si>
  <si>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</si>
  <si>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</si>
  <si>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</si>
  <si>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</si>
  <si>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</si>
  <si>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</si>
  <si>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</si>
  <si>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</si>
  <si>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</si>
  <si>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</si>
  <si>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</si>
  <si>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</si>
  <si>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</si>
  <si>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</si>
  <si>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</si>
  <si>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</si>
  <si>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</si>
  <si>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</si>
  <si>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</si>
  <si>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</si>
  <si>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</si>
  <si>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</si>
  <si>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</si>
  <si>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</si>
  <si>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t xml:space="preserve">趋势跌(20日-7.16%连续第3日加深)·60日+7.4%长期涨vs10日LBMA-1.58%短期续弱背离·FOMC鹰派落地后第6交易日·昨日破位大阴线次日</t>
  </si>
  <si>
    <t xml:space="preserve">昨日破位大阴线-1.72%(跌穿$4,314.8双底颈线+50%回撤$4,314.66+$4,300整数关,收$4,289.60,场景D兑现)[部分定价]+20日趋势跌加深至-7.16%顺势[已定价]+鹰派加息预期(点阵图16/18年内再加息+PPI/CPI热)美元一个月高位·10Y~4.96%压制[已定价]+VIX四连降至14.21避险溢价归零[部分定价]+CFTC/ETF投机持仓降至2019年中低位[未释放] vs $4,265-4,267三重底(9/14 LBMA/9/18现货/9/23亚市)与央行逢低承接(PBOC 21连月+波兰Q2+51t)[未释放]+昨日sub-$4,300现goodish反弹买盘[未释放]+9/8起8窗口涨跌严格交替[未释放]→押顺势低位阴跌收$4,262-4,276,$4,265为存亡线、$4,314.66为反压确认线</t>
  </si>
  <si>
    <t xml:space="preserve">周四06:32晨间定时执行成功(克隆仓库版);9/23结算××(押涨/小vs实际-1.72%跌/大,场景D兑现且更深)后方向顺势转跌:非追结果——独立依据=破位结构($4,310-4,334三重支撑带单日全数跌穿+隔夜贴$4,289低位横盘无反抽)+趋势标签-7.16%连续加深;幅度押中:破位惯性+20日日均波幅0.99%但$4,265三重底近在-0.5%+央行承接封深跌;校准23/20达标校准良好+0.7pp(Brier0.2473),冻结期已满,三条待改项待用户定夺,本判断沿用冻结前规则;本沙盒无recalc.py,已用soffice重算log.xlsx公式</t>
  </si>
  <si>
    <t xml:space="preserve">2026-09-25</t>
  </si>
  <si>
    <t xml:space="preserve">2026-09-25 06:38</t>
  </si>
  <si>
    <t xml:space="preserve">趋势跌(20日-7.17%连续第4日深位)·60日+7.3%长期涨vs10日LBMA-2.32%短期续弱背离·FOMC鹰派落地后第7交易日·三重底$4,265-4,267上沿压缩待变(-0.15%)·耐用品订单+密歇根终值日</t>
  </si>
  <si>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连续深位顺势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$4,300/$4,314.66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隔夜横盘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技术指标全线偏空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~$4,369</t>
    </r>
    <r>
      <rPr>
        <sz val="11"/>
        <color rgb="FF000000"/>
        <rFont val="Noto Sans CJK SC"/>
        <family val="2"/>
      </rPr>
      <t xml:space="preserve">封盖</t>
    </r>
    <r>
      <rPr>
        <sz val="11"/>
        <color rgb="FF000000"/>
        <rFont val="Calibri"/>
        <family val="2"/>
        <charset val="1"/>
      </rPr>
      <t xml:space="preserve">+MACD</t>
    </r>
    <r>
      <rPr>
        <sz val="11"/>
        <color rgb="FF000000"/>
        <rFont val="Noto Sans CJK SC"/>
        <family val="2"/>
      </rPr>
      <t xml:space="preserve">负</t>
    </r>
    <r>
      <rPr>
        <sz val="11"/>
        <color rgb="FF000000"/>
        <rFont val="Calibri"/>
        <family val="2"/>
        <charset val="1"/>
      </rPr>
      <t xml:space="preserve">+RSI 36.5-44.6)[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今晚耐用品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密歇根若偏热点火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三重底第四次防守</t>
    </r>
    <r>
      <rPr>
        <sz val="11"/>
        <color rgb="FF000000"/>
        <rFont val="Calibri"/>
        <family val="2"/>
        <charset val="1"/>
      </rPr>
      <t xml:space="preserve">(9/14/9/18/9/24</t>
    </r>
    <r>
      <rPr>
        <sz val="11"/>
        <color rgb="FF000000"/>
        <rFont val="Noto Sans CJK SC"/>
        <family val="2"/>
      </rPr>
      <t xml:space="preserve">三守成功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(PBOC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Q2+51t,</t>
    </r>
    <r>
      <rPr>
        <sz val="11"/>
        <color rgb="FF000000"/>
        <rFont val="Noto Sans CJK SC"/>
        <family val="2"/>
      </rPr>
      <t xml:space="preserve">逢低买入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]+CCI-262</t>
    </r>
    <r>
      <rPr>
        <sz val="11"/>
        <color rgb="FF000000"/>
        <rFont val="Noto Sans CJK SC"/>
        <family val="2"/>
      </rPr>
      <t xml:space="preserve">超卖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(-1.72%→-0.39%→</t>
    </r>
    <r>
      <rPr>
        <sz val="11"/>
        <color rgb="FF000000"/>
        <rFont val="Noto Sans CJK SC"/>
        <family val="2"/>
      </rPr>
      <t xml:space="preserve">隔夜平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周五空头回补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押顺势压缩后向下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止损延伸至</t>
    </r>
    <r>
      <rPr>
        <sz val="11"/>
        <color rgb="FF000000"/>
        <rFont val="Calibri"/>
        <family val="2"/>
        <charset val="1"/>
      </rPr>
      <t xml:space="preserve">$4,240-4,262(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央行承接封深跌不押大</t>
    </r>
    <r>
      <rPr>
        <sz val="11"/>
        <color rgb="FF000000"/>
        <rFont val="Calibri"/>
        <family val="2"/>
        <charset val="1"/>
      </rPr>
      <t xml:space="preserve">,$4,314.66</t>
    </r>
    <r>
      <rPr>
        <sz val="11"/>
        <color rgb="FF000000"/>
        <rFont val="Noto Sans CJK SC"/>
        <family val="2"/>
      </rPr>
      <t xml:space="preserve">为翻多确认线</t>
    </r>
  </si>
  <si>
    <t xml:space="preserve">周五06:31晨间定时执行成功(克隆仓库版);昨日9/24√√(押跌/中vs实际-0.39%跌/中,三重底三守成功)后方向档位维持顺势非追结果——独立依据=趋势标签-7.17%深位未变+破位反压$4,314.66未收复+鹰派组合延续;动能衰减+现价距三重底仅-0.15%封深跌故押中不押大(冻结前规则:动能衰减强信号优先中/小档);校准24/20达标良好+2.5pp(Brier0.2454),冻结期已满,三条待改项仍待用户定夺;本沙盒无recalc.py,已用soffice重算log.xlsx公式</t>
  </si>
  <si>
    <t xml:space="preserve">2026-09-28</t>
  </si>
  <si>
    <t xml:space="preserve">2026-09-28 06:35</t>
  </si>
  <si>
    <t xml:space="preserve">趋势跌(20日-6.74%连续第5日深位)·60日+2.33%长期涨动能钝化vs10日LBMA-2.85%短期续弱背离·FOMC鹰派落地后第8交易日·周一跳空低开-0.43%贴三重底$4,265-4,267(第五测)·PCE周三窗外今窗无重大事件</t>
  </si>
  <si>
    <t xml:space="preserve">周一跳空低开-0.43%贴三重底$4,265-4,267(第五测)[未释放]+20日趋势跌-6.74%第5日深位(LBMA定盘三连降至$4,261.05破名义区)[已定价]+破位结构未修复(距$4,300/-0.76%·$4,314.66反压/-1.1%)[部分定价]+鹰派延续(点阵图16/18年内再加息+美元一个月高位·10Y~4.96%)[已定价]+VIX14.87避险溢价归零[部分定价] vs 三重底前四守成功+周五美盘$4,254→$4,286买盘验证[未释放]+PBOC 22连月(8月+20.2t创纪录,波兰Q2+51t)逢低承接[未释放]+CFTC/ETF持仓2019年中低位抛压衰竭[未释放]+动能衰减(近3窗-1.72%→-0.39%→+0.30%)[未释放]→押顺势阴跌:破$4,265止损延伸$4,238-4,255(中档),央行承接+超卖封深跌不押大,PCE周三前波动收敛</t>
  </si>
  <si>
    <t xml:space="preserve">周一06:31晨间定时执行成功(克隆仓库版);周末后跳空低开贴三重底,方向押跌+档位押中:趋势标签-6.74%深位+破位未修复+鹰派组合延续,非追结果式——独立依据=周一跳空低开-0.43%回吐周五美盘全部反弹+LBMA定盘三连降至$4,261.05破三重底名义区(新变化);动能衰减(近3窗-1.72%→-0.39%→+0.30%)+PCE周三前收敛→押中不押大(冻结前规则:动能衰减优先中/小档);校准25/20达标良好+0.2pp(Brier0.2477),冻结期已满,三条待改项仍待用户定夺,本判断沿用冻结前规则;本沙盒无recalc.py,已用soffice重算log.xlsx公式</t>
  </si>
  <si>
    <t xml:space="preserve">2026-09-29</t>
  </si>
  <si>
    <t xml:space="preserve">2026-09-29 06:38</t>
  </si>
  <si>
    <t xml:space="preserve">趋势跌（20日-6.74%·LBMA口径未含昨-3.31%·现货约-9.9%本轮最深）·长期涨钝化vs短期深跌背离·昨破位大阴后首日</t>
  </si>
  <si>
    <t xml:space="preserve">破位惯性+美元强+Fed年内再加息预期压顶 vs 昨-3.31%超卖+地缘避险+央行购金承接；主路径惯性阴跌中档</t>
  </si>
  <si>
    <t xml:space="preserve">2026-09-30</t>
  </si>
  <si>
    <t xml:space="preserve">2026-09-30 06:35</t>
  </si>
  <si>
    <t xml:space="preserve">趋势跌(20日-9.17%本轮最深·LBMA定盘五连降)·60日+0.1%长期横盘钝化vs10日-2.87%短期续弱·昨超卖大反弹+1.41%后首日·PCE今晚20:30窗内</t>
  </si>
  <si>
    <t xml:space="preserve">锯齿交替第11窗(9/8起10窗严格交替,昨+1.41%→今回吐)[未释放]+趋势跌-9.17%深位[已定价]+鹰派组合(10月加息概率70%+美元一个月高位+10Y~4.96%)[已定价]+反弹供给压力$4,193-4,222为9/28破位区下沿套牢盘密集[部分定价]+PCE偏热概率高(PPI/CPI双热前瞻)[未释放] vs 央行购金22连月(PBOC 8月+20.2t创纪录)与$4,125/4,100双支撑承接[未释放]+超卖修复动能(美盘3连强势买盘)[部分定价]+投机持仓2019年中低位抛压衰竭/轧空空间[未释放]+地缘避险(美伊+关税通胀)[未释放]→押惯性回吐:PCE事件日亚欧盘收敛+双支撑封深跌故押中不押大,收$4,139-4,168;PCE偏冷续反弹($4,193-4,222)约25%,偏热重挫(&lt;$4,139)约15%</t>
  </si>
  <si>
    <t xml:space="preserve">周三06:35晨间定时执行成功(克隆仓库版);9/29结算××(押跌/中vs实际+1.41%涨/大,场景树C兑现且超上沿)后方向续押跌:非追结果式——独立依据=交替规律(10窗样本)+趋势标签-9.17%未变+鹰派组合延续+PCE偏热概率,昨反弹驱动(预期降温)属未兑现即抢跑需今晚数据验证;档位维持中:PCE事件日收敛+20日-9.17%超卖封深跌+双支撑(-1.33%/-1.93%)近在;校准27/20达标良好-0.2pp(Brier0.2481),三条待改项仍待用户定夺,本判断沿用冻结前规则;本沙盒无recalc.py,已用soffice重算log.xlsx公式</t>
  </si>
  <si>
    <t xml:space="preserve">2026-10-01</t>
  </si>
  <si>
    <t xml:space="preserve">2026-10-01 06:40</t>
  </si>
  <si>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-5.14%)·60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+2.24%</t>
    </r>
    <r>
      <rPr>
        <sz val="11"/>
        <color rgb="FF000000"/>
        <rFont val="Noto Sans CJK SC"/>
        <family val="2"/>
      </rPr>
      <t xml:space="preserve">长期钝化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-3.95%</t>
    </r>
    <r>
      <rPr>
        <sz val="11"/>
        <color rgb="FF000000"/>
        <rFont val="Noto Sans CJK SC"/>
        <family val="2"/>
      </rPr>
      <t xml:space="preserve">短期续弱</t>
    </r>
    <r>
      <rPr>
        <sz val="11"/>
        <color rgb="FF000000"/>
        <rFont val="Calibri"/>
        <family val="2"/>
        <charset val="1"/>
      </rPr>
      <t xml:space="preserve">·PCE</t>
    </r>
    <r>
      <rPr>
        <sz val="11"/>
        <color rgb="FF000000"/>
        <rFont val="Noto Sans CJK SC"/>
        <family val="2"/>
      </rPr>
      <t xml:space="preserve">偏冷后修复第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初请</t>
    </r>
    <r>
      <rPr>
        <sz val="11"/>
        <color rgb="FF000000"/>
        <rFont val="Calibri"/>
        <family val="2"/>
        <charset val="1"/>
      </rPr>
      <t xml:space="preserve">+ISM</t>
    </r>
    <r>
      <rPr>
        <sz val="11"/>
        <color rgb="FF000000"/>
        <rFont val="Noto Sans CJK SC"/>
        <family val="2"/>
      </rPr>
      <t xml:space="preserve">今晚窗内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非农明晚窗外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中国国庆休市整周</t>
    </r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</si>
  <si>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偏冷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核心环比</t>
    </r>
    <r>
      <rPr>
        <sz val="11"/>
        <color rgb="FF000000"/>
        <rFont val="Calibri"/>
        <family val="2"/>
        <charset val="1"/>
      </rPr>
      <t xml:space="preserve">+0.2%&lt;</t>
    </r>
    <r>
      <rPr>
        <sz val="11"/>
        <color rgb="FF000000"/>
        <rFont val="Noto Sans CJK SC"/>
        <family val="2"/>
      </rPr>
      <t xml:space="preserve">预期</t>
    </r>
    <r>
      <rPr>
        <sz val="11"/>
        <color rgb="FF000000"/>
        <rFont val="Calibri"/>
        <family val="2"/>
        <charset val="1"/>
      </rPr>
      <t xml:space="preserve">)+Williams</t>
    </r>
    <r>
      <rPr>
        <sz val="11"/>
        <color rgb="FF000000"/>
        <rFont val="Noto Sans CJK SC"/>
        <family val="2"/>
      </rPr>
      <t xml:space="preserve">仅再加息一次→</t>
    </r>
    <r>
      <rPr>
        <sz val="11"/>
        <color rgb="FF000000"/>
        <rFont val="Calibri"/>
        <family val="2"/>
        <charset val="1"/>
      </rPr>
      <t xml:space="preserve">10</t>
    </r>
    <r>
      <rPr>
        <sz val="11"/>
        <color rgb="FF000000"/>
        <rFont val="Noto Sans CJK SC"/>
        <family val="2"/>
      </rPr>
      <t xml:space="preserve">月加息概率</t>
    </r>
    <r>
      <rPr>
        <sz val="11"/>
        <color rgb="FF000000"/>
        <rFont val="Calibri"/>
        <family val="2"/>
        <charset val="1"/>
      </rPr>
      <t xml:space="preserve">47%[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双底</t>
    </r>
    <r>
      <rPr>
        <sz val="11"/>
        <color rgb="FF000000"/>
        <rFont val="Calibri"/>
        <family val="2"/>
        <charset val="1"/>
      </rPr>
      <t xml:space="preserve">$4,122-4,125</t>
    </r>
    <r>
      <rPr>
        <sz val="11"/>
        <color rgb="FF000000"/>
        <rFont val="Noto Sans CJK SC"/>
        <family val="2"/>
      </rPr>
      <t xml:space="preserve">两次承接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窗严格交替今日轮涨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]vs12</t>
    </r>
    <r>
      <rPr>
        <sz val="11"/>
        <color rgb="FF000000"/>
        <rFont val="Noto Sans CJK SC"/>
        <family val="2"/>
      </rPr>
      <t xml:space="preserve">月加息</t>
    </r>
    <r>
      <rPr>
        <sz val="11"/>
        <color rgb="FF000000"/>
        <rFont val="Calibri"/>
        <family val="2"/>
        <charset val="1"/>
      </rPr>
      <t xml:space="preserve">91%+</t>
    </r>
    <r>
      <rPr>
        <sz val="11"/>
        <color rgb="FF000000"/>
        <rFont val="Noto Sans CJK SC"/>
        <family val="2"/>
      </rPr>
      <t xml:space="preserve">收益率顽固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昨日利好不涨美盘</t>
    </r>
    <r>
      <rPr>
        <sz val="11"/>
        <color rgb="FF000000"/>
        <rFont val="Calibri"/>
        <family val="2"/>
        <charset val="1"/>
      </rPr>
      <t xml:space="preserve">-0.8%[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中国国庆休市整周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];</t>
    </r>
    <r>
      <rPr>
        <sz val="11"/>
        <color rgb="FF000000"/>
        <rFont val="Noto Sans CJK SC"/>
        <family val="2"/>
      </rPr>
      <t xml:space="preserve">主路径超卖修复</t>
    </r>
    <r>
      <rPr>
        <sz val="11"/>
        <color rgb="FF000000"/>
        <rFont val="Calibri"/>
        <family val="2"/>
        <charset val="1"/>
      </rPr>
      <t xml:space="preserve">+0.1%~0.3%</t>
    </r>
  </si>
  <si>
    <r>
      <rPr>
        <sz val="11"/>
        <color rgb="FF000000"/>
        <rFont val="Noto Sans CJK SC"/>
        <family val="2"/>
      </rPr>
      <t xml:space="preserve">周四</t>
    </r>
    <r>
      <rPr>
        <sz val="11"/>
        <color rgb="FF000000"/>
        <rFont val="Calibri"/>
        <family val="2"/>
        <charset val="1"/>
      </rPr>
      <t xml:space="preserve">06:40</t>
    </r>
    <r>
      <rPr>
        <sz val="11"/>
        <color rgb="FF000000"/>
        <rFont val="Noto Sans CJK SC"/>
        <family val="2"/>
      </rPr>
      <t xml:space="preserve">晨间定时执行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);9/30</t>
    </r>
    <r>
      <rPr>
        <sz val="11"/>
        <color rgb="FF000000"/>
        <rFont val="Noto Sans CJK SC"/>
        <family val="2"/>
      </rPr>
      <t xml:space="preserve">结算√√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vs</t>
    </r>
    <r>
      <rPr>
        <sz val="11"/>
        <color rgb="FF000000"/>
        <rFont val="Noto Sans CJK SC"/>
        <family val="2"/>
      </rPr>
      <t xml:space="preserve">实际</t>
    </r>
    <r>
      <rPr>
        <sz val="11"/>
        <color rgb="FF000000"/>
        <rFont val="Calibri"/>
        <family val="2"/>
        <charset val="1"/>
      </rPr>
      <t xml:space="preserve">-0.56%</t>
    </r>
    <r>
      <rPr>
        <sz val="11"/>
        <color rgb="FF000000"/>
        <rFont val="Noto Sans CJK SC"/>
        <family val="2"/>
      </rPr>
      <t xml:space="preserve">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午后</t>
    </r>
    <r>
      <rPr>
        <sz val="11"/>
        <color rgb="FF000000"/>
        <rFont val="Calibri"/>
        <family val="2"/>
        <charset val="1"/>
      </rPr>
      <t xml:space="preserve">+0.43%</t>
    </r>
    <r>
      <rPr>
        <sz val="11"/>
        <color rgb="FF000000"/>
        <rFont val="Noto Sans CJK SC"/>
        <family val="2"/>
      </rPr>
      <t xml:space="preserve">偏离后美盘</t>
    </r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偏冷不涨反跌回笼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场景</t>
    </r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Noto Sans CJK SC"/>
        <family val="2"/>
      </rPr>
      <t xml:space="preserve">兑现</t>
    </r>
    <r>
      <rPr>
        <sz val="11"/>
        <color rgb="FF000000"/>
        <rFont val="Calibri"/>
        <family val="2"/>
        <charset val="1"/>
      </rPr>
      <t xml:space="preserve">);</t>
    </r>
    <r>
      <rPr>
        <sz val="11"/>
        <color rgb="FF000000"/>
        <rFont val="Noto Sans CJK SC"/>
        <family val="2"/>
      </rPr>
      <t xml:space="preserve">方向转押涨非追结果</t>
    </r>
    <r>
      <rPr>
        <sz val="11"/>
        <color rgb="FF000000"/>
        <rFont val="Calibri"/>
        <family val="2"/>
        <charset val="1"/>
      </rPr>
      <t xml:space="preserve">(9/30</t>
    </r>
    <r>
      <rPr>
        <sz val="11"/>
        <color rgb="FF000000"/>
        <rFont val="Noto Sans CJK SC"/>
        <family val="2"/>
      </rPr>
      <t xml:space="preserve">押跌√后逆向</t>
    </r>
    <r>
      <rPr>
        <sz val="11"/>
        <color rgb="FF000000"/>
        <rFont val="Calibri"/>
        <family val="2"/>
        <charset val="1"/>
      </rPr>
      <t xml:space="preserve">)——</t>
    </r>
    <r>
      <rPr>
        <sz val="11"/>
        <color rgb="FF000000"/>
        <rFont val="Noto Sans CJK SC"/>
        <family val="2"/>
      </rPr>
      <t xml:space="preserve">依据</t>
    </r>
    <r>
      <rPr>
        <sz val="11"/>
        <color rgb="FF000000"/>
        <rFont val="Calibri"/>
        <family val="2"/>
        <charset val="1"/>
      </rPr>
      <t xml:space="preserve">=PCE</t>
    </r>
    <r>
      <rPr>
        <sz val="11"/>
        <color rgb="FF000000"/>
        <rFont val="Noto Sans CJK SC"/>
        <family val="2"/>
      </rPr>
      <t xml:space="preserve">偏冷钝化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交替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窗</t>
    </r>
    <r>
      <rPr>
        <sz val="11"/>
        <color rgb="FF000000"/>
        <rFont val="Calibri"/>
        <family val="2"/>
        <charset val="1"/>
      </rPr>
      <t xml:space="preserve">;LBMA</t>
    </r>
    <r>
      <rPr>
        <sz val="11"/>
        <color rgb="FF000000"/>
        <rFont val="Noto Sans CJK SC"/>
        <family val="2"/>
      </rPr>
      <t xml:space="preserve">今起</t>
    </r>
    <r>
      <rPr>
        <sz val="11"/>
        <color rgb="FF000000"/>
        <rFont val="Calibri"/>
        <family val="2"/>
        <charset val="1"/>
      </rPr>
      <t xml:space="preserve">403</t>
    </r>
    <r>
      <rPr>
        <sz val="11"/>
        <color rgb="FF000000"/>
        <rFont val="Noto Sans CJK SC"/>
        <family val="2"/>
      </rPr>
      <t xml:space="preserve">不可达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基线</t>
    </r>
    <r>
      <rPr>
        <sz val="11"/>
        <color rgb="FF000000"/>
        <rFont val="Calibri"/>
        <family val="2"/>
        <charset val="1"/>
      </rPr>
      <t xml:space="preserve">9/29-9/30</t>
    </r>
    <r>
      <rPr>
        <sz val="11"/>
        <color rgb="FF000000"/>
        <rFont val="Noto Sans CJK SC"/>
        <family val="2"/>
      </rPr>
      <t xml:space="preserve">以次晨结算价续接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已注</t>
    </r>
    <r>
      <rPr>
        <sz val="11"/>
        <color rgb="FF000000"/>
        <rFont val="Calibri"/>
        <family val="2"/>
        <charset val="1"/>
      </rPr>
      <t xml:space="preserve">source_note);</t>
    </r>
    <r>
      <rPr>
        <sz val="11"/>
        <color rgb="FF000000"/>
        <rFont val="Noto Sans CJK SC"/>
        <family val="2"/>
      </rPr>
      <t xml:space="preserve">本沙盒无</t>
    </r>
    <r>
      <rPr>
        <sz val="11"/>
        <color rgb="FF000000"/>
        <rFont val="Calibri"/>
        <family val="2"/>
        <charset val="1"/>
      </rPr>
      <t xml:space="preserve">recalc.py,</t>
    </r>
    <r>
      <rPr>
        <sz val="11"/>
        <color rgb="FF000000"/>
        <rFont val="Noto Sans CJK SC"/>
        <family val="2"/>
      </rPr>
      <t xml:space="preserve">公式用</t>
    </r>
    <r>
      <rPr>
        <sz val="11"/>
        <color rgb="FF000000"/>
        <rFont val="Calibri"/>
        <family val="2"/>
        <charset val="1"/>
      </rPr>
      <t xml:space="preserve">LibreOffice</t>
    </r>
    <r>
      <rPr>
        <sz val="11"/>
        <color rgb="FF000000"/>
        <rFont val="Noto Sans CJK SC"/>
        <family val="2"/>
      </rPr>
      <t xml:space="preserve">重算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校准</t>
    </r>
    <r>
      <rPr>
        <sz val="11"/>
        <color rgb="FF000000"/>
        <rFont val="Calibri"/>
        <family val="2"/>
        <charset val="1"/>
      </rPr>
      <t xml:space="preserve">28/20</t>
    </r>
    <r>
      <rPr>
        <sz val="11"/>
        <color rgb="FF000000"/>
        <rFont val="Noto Sans CJK SC"/>
        <family val="2"/>
      </rPr>
      <t xml:space="preserve">良好</t>
    </r>
    <r>
      <rPr>
        <sz val="11"/>
        <color rgb="FF000000"/>
        <rFont val="Calibri"/>
        <family val="2"/>
        <charset val="1"/>
      </rPr>
      <t xml:space="preserve">+1.4pp,Brier0.2464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</si>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</sst>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0%"/>
    <numFmt numFmtId="167" formatCode="yyyy\-mm\-dd"/>
    <numFmt numFmtId="168" formatCode="General"/>
    <numFmt numFmtId="169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0" t="s">
        <v>44</v>
      </c>
      <c r="E25" s="10" t="s">
        <v>33</v>
      </c>
      <c r="F25" s="10" t="s">
        <v>44</v>
      </c>
      <c r="G25" s="10" t="s">
        <v>33</v>
      </c>
      <c r="H25" s="10" t="s">
        <v>22</v>
      </c>
      <c r="I25" s="9" t="n">
        <v>4272.2</v>
      </c>
      <c r="J25" s="11" t="n">
        <f aca="false">IF(OR(I25="",C25=""),"",(I25-C25)/C25)</f>
        <v>-0.00394022055909178</v>
      </c>
      <c r="K25" s="8" t="str">
        <f aca="false">IF(J25="","",IF(J25&gt;0,"涨",IF(J25&lt;0,"跌","平")))</f>
        <v>跌</v>
      </c>
      <c r="L25" s="8" t="str">
        <f aca="false">IF(J25="","",IF(ABS(J25)&lt;=0.003,"小",IF(ABS(J25)&lt;=0.01,"中","大")))</f>
        <v>中</v>
      </c>
      <c r="M25" s="8" t="str">
        <f aca="false">IF(OR(D25="",K25=""),"",IF(D25=K25,"√","×"))</f>
        <v>√</v>
      </c>
      <c r="N25" s="8" t="str">
        <f aca="false">IF(OR(E25="",L25=""),"",IF(E25=L25,"√","×"))</f>
        <v>√</v>
      </c>
      <c r="O25" s="10" t="s">
        <v>138</v>
      </c>
      <c r="P25" s="10" t="s">
        <v>139</v>
      </c>
      <c r="Q25" s="10" t="s">
        <v>140</v>
      </c>
      <c r="R25" s="1" t="n">
        <v>55</v>
      </c>
    </row>
    <row r="26" customFormat="false" ht="15" hidden="false" customHeight="true" outlineLevel="0" collapsed="false">
      <c r="A26" s="4" t="s">
        <v>141</v>
      </c>
      <c r="B26" s="4" t="s">
        <v>142</v>
      </c>
      <c r="C26" s="5" t="n">
        <v>4273.2</v>
      </c>
      <c r="D26" s="6" t="s">
        <v>44</v>
      </c>
      <c r="E26" s="6" t="s">
        <v>33</v>
      </c>
      <c r="F26" s="6" t="s">
        <v>44</v>
      </c>
      <c r="G26" s="6" t="s">
        <v>33</v>
      </c>
      <c r="H26" s="6" t="s">
        <v>22</v>
      </c>
      <c r="I26" s="5" t="n">
        <v>4286.2</v>
      </c>
      <c r="J26" s="7" t="n">
        <f aca="false">IF(OR(I26="",C26=""),"",(I26-C26)/C26)</f>
        <v>0.00304221660582233</v>
      </c>
      <c r="K26" s="4" t="str">
        <f aca="false">IF(J26="","",IF(J26&gt;0,"涨",IF(J26&lt;0,"跌","平")))</f>
        <v>涨</v>
      </c>
      <c r="L26" s="4" t="str">
        <f aca="false">IF(J26="","",IF(ABS(J26)&lt;=0.003,"小",IF(ABS(J26)&lt;=0.01,"中","大")))</f>
        <v>中</v>
      </c>
      <c r="M26" s="4" t="str">
        <f aca="false">IF(OR(D26="",K26=""),"",IF(D26=K26,"√","×"))</f>
        <v>×</v>
      </c>
      <c r="N26" s="4" t="str">
        <f aca="false">IF(OR(E26="",L26=""),"",IF(E26=L26,"√","×"))</f>
        <v>√</v>
      </c>
      <c r="O26" s="6" t="s">
        <v>143</v>
      </c>
      <c r="P26" s="4" t="s">
        <v>144</v>
      </c>
      <c r="Q26" s="6" t="s">
        <v>145</v>
      </c>
      <c r="R26" s="1" t="n">
        <v>55</v>
      </c>
    </row>
    <row r="27" customFormat="false" ht="15" hidden="false" customHeight="true" outlineLevel="0" collapsed="false">
      <c r="A27" s="8" t="s">
        <v>146</v>
      </c>
      <c r="B27" s="8" t="s">
        <v>147</v>
      </c>
      <c r="C27" s="9" t="n">
        <v>4267.8</v>
      </c>
      <c r="D27" s="10" t="s">
        <v>44</v>
      </c>
      <c r="E27" s="10" t="s">
        <v>33</v>
      </c>
      <c r="F27" s="10" t="s">
        <v>44</v>
      </c>
      <c r="G27" s="10" t="s">
        <v>33</v>
      </c>
      <c r="H27" s="10" t="s">
        <v>22</v>
      </c>
      <c r="I27" s="9" t="n">
        <v>4126.5</v>
      </c>
      <c r="J27" s="11" t="n">
        <f aca="false">IF(OR(I27="",C27=""),"",(I27-C27)/C27)</f>
        <v>-0.0331083930830873</v>
      </c>
      <c r="K27" s="8" t="str">
        <f aca="false">IF(J27="","",IF(J27&gt;0,"涨",IF(J27&lt;0,"跌","平")))</f>
        <v>跌</v>
      </c>
      <c r="L27" s="8" t="str">
        <f aca="false">IF(J27="","",IF(ABS(J27)&lt;=0.003,"小",IF(ABS(J27)&lt;=0.01,"中","大")))</f>
        <v>大</v>
      </c>
      <c r="M27" s="8" t="str">
        <f aca="false">IF(OR(D27="",K27=""),"",IF(D27=K27,"√","×"))</f>
        <v>√</v>
      </c>
      <c r="N27" s="8" t="str">
        <f aca="false">IF(OR(E27="",L27=""),"",IF(E27=L27,"√","×"))</f>
        <v>×</v>
      </c>
      <c r="O27" s="10" t="s">
        <v>148</v>
      </c>
      <c r="P27" s="10" t="s">
        <v>149</v>
      </c>
      <c r="Q27" s="10" t="s">
        <v>150</v>
      </c>
      <c r="R27" s="1" t="n">
        <v>55</v>
      </c>
    </row>
    <row r="28" customFormat="false" ht="15" hidden="false" customHeight="true" outlineLevel="0" collapsed="false">
      <c r="A28" s="16" t="s">
        <v>151</v>
      </c>
      <c r="B28" s="4" t="s">
        <v>152</v>
      </c>
      <c r="C28" s="5" t="n">
        <v>4122.8</v>
      </c>
      <c r="D28" s="6" t="s">
        <v>44</v>
      </c>
      <c r="E28" s="6" t="s">
        <v>33</v>
      </c>
      <c r="F28" s="6" t="s">
        <v>44</v>
      </c>
      <c r="G28" s="6" t="s">
        <v>33</v>
      </c>
      <c r="H28" s="6" t="s">
        <v>22</v>
      </c>
      <c r="I28" s="5" t="n">
        <v>4181</v>
      </c>
      <c r="J28" s="7" t="n">
        <f aca="false">IF(OR(I28="",C28=""),"",(I28-C28)/C28)</f>
        <v>0.0141166197729698</v>
      </c>
      <c r="K28" s="4" t="str">
        <f aca="false">IF(J28="","",IF(J28&gt;0,"涨",IF(J28&lt;0,"跌","平")))</f>
        <v>涨</v>
      </c>
      <c r="L28" s="4" t="str">
        <f aca="false">IF(J28="","",IF(ABS(J28)&lt;=0.003,"小",IF(ABS(J28)&lt;=0.01,"中","大")))</f>
        <v>大</v>
      </c>
      <c r="M28" s="4" t="str">
        <f aca="false">IF(OR(D28="",K28=""),"",IF(D28=K28,"√","×"))</f>
        <v>×</v>
      </c>
      <c r="N28" s="4" t="str">
        <f aca="false">IF(OR(E28="",L28=""),"",IF(E28=L28,"√","×"))</f>
        <v>×</v>
      </c>
      <c r="O28" s="6" t="s">
        <v>153</v>
      </c>
      <c r="P28" s="6" t="s">
        <v>154</v>
      </c>
      <c r="Q28" s="4"/>
      <c r="R28" s="1" t="n">
        <v>55</v>
      </c>
    </row>
    <row r="29" customFormat="false" ht="15" hidden="false" customHeight="true" outlineLevel="0" collapsed="false">
      <c r="A29" s="8" t="s">
        <v>155</v>
      </c>
      <c r="B29" s="8" t="s">
        <v>156</v>
      </c>
      <c r="C29" s="9" t="n">
        <v>4180.5</v>
      </c>
      <c r="D29" s="10" t="s">
        <v>44</v>
      </c>
      <c r="E29" s="10" t="s">
        <v>33</v>
      </c>
      <c r="F29" s="10" t="s">
        <v>44</v>
      </c>
      <c r="G29" s="10" t="s">
        <v>33</v>
      </c>
      <c r="H29" s="10" t="s">
        <v>22</v>
      </c>
      <c r="I29" s="9" t="n">
        <v>4157.2</v>
      </c>
      <c r="J29" s="11" t="n">
        <f aca="false">IF(OR(I29="",C29=""),"",(I29-C29)/C29)</f>
        <v>-0.00557349599330228</v>
      </c>
      <c r="K29" s="8" t="str">
        <f aca="false">IF(J29="","",IF(J29&gt;0,"涨",IF(J29&lt;0,"跌","平")))</f>
        <v>跌</v>
      </c>
      <c r="L29" s="8" t="str">
        <f aca="false">IF(J29="","",IF(ABS(J29)&lt;=0.003,"小",IF(ABS(J29)&lt;=0.01,"中","大")))</f>
        <v>中</v>
      </c>
      <c r="M29" s="8" t="str">
        <f aca="false">IF(OR(D29="",K29=""),"",IF(D29=K29,"√","×"))</f>
        <v>√</v>
      </c>
      <c r="N29" s="8" t="str">
        <f aca="false">IF(OR(E29="",L29=""),"",IF(E29=L29,"√","×"))</f>
        <v>√</v>
      </c>
      <c r="O29" s="10" t="s">
        <v>157</v>
      </c>
      <c r="P29" s="10" t="s">
        <v>158</v>
      </c>
      <c r="Q29" s="10" t="s">
        <v>159</v>
      </c>
      <c r="R29" s="1" t="n">
        <v>55</v>
      </c>
    </row>
    <row r="30" customFormat="false" ht="15" hidden="false" customHeight="true" outlineLevel="0" collapsed="false">
      <c r="A30" s="4" t="s">
        <v>160</v>
      </c>
      <c r="B30" s="4" t="s">
        <v>161</v>
      </c>
      <c r="C30" s="5" t="n">
        <v>4157.3</v>
      </c>
      <c r="D30" s="17" t="s">
        <v>20</v>
      </c>
      <c r="E30" s="17" t="s">
        <v>38</v>
      </c>
      <c r="F30" s="17" t="s">
        <v>20</v>
      </c>
      <c r="G30" s="17" t="s">
        <v>38</v>
      </c>
      <c r="H30" s="17" t="s">
        <v>22</v>
      </c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17" t="s">
        <v>162</v>
      </c>
      <c r="P30" s="4" t="s">
        <v>163</v>
      </c>
      <c r="Q30" s="17" t="s">
        <v>164</v>
      </c>
      <c r="R30" s="0" t="n">
        <v>55</v>
      </c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8" t="s">
        <v>165</v>
      </c>
    </row>
    <row r="3" customFormat="false" ht="15" hidden="false" customHeight="true" outlineLevel="0" collapsed="false">
      <c r="A3" s="19" t="s">
        <v>166</v>
      </c>
      <c r="B3" s="20" t="n">
        <f aca="false">COUNTIF(预测日志!M2:M1000,"√")+COUNTIF(预测日志!M2:M1000,"×")</f>
        <v>28</v>
      </c>
    </row>
    <row r="4" customFormat="false" ht="15" hidden="false" customHeight="true" outlineLevel="0" collapsed="false">
      <c r="A4" s="19" t="s">
        <v>167</v>
      </c>
      <c r="B4" s="20" t="n">
        <f aca="false">COUNTA(预测日志!A2:A1000)</f>
        <v>29</v>
      </c>
    </row>
    <row r="5" customFormat="false" ht="15" hidden="false" customHeight="true" outlineLevel="0" collapsed="false">
      <c r="A5" s="21" t="s">
        <v>168</v>
      </c>
      <c r="B5" s="22" t="n">
        <f aca="false">IFERROR(COUNTIF(预测日志!M2:M1000,"√")/B3,"-")</f>
        <v>0.571428571428571</v>
      </c>
    </row>
    <row r="6" customFormat="false" ht="15" hidden="false" customHeight="true" outlineLevel="0" collapsed="false">
      <c r="A6" s="19" t="s">
        <v>169</v>
      </c>
      <c r="B6" s="23" t="n">
        <f aca="false">IFERROR(COUNTIF(预测日志!N2:N1000,"√")/(COUNTIF(预测日志!N2:N1000,"√")+COUNTIF(预测日志!N2:N1000,"×")),"-")</f>
        <v>0.428571428571429</v>
      </c>
    </row>
    <row r="7" customFormat="false" ht="15" hidden="false" customHeight="true" outlineLevel="0" collapsed="false">
      <c r="A7" s="21" t="s">
        <v>170</v>
      </c>
      <c r="B7" s="22" t="n">
        <f aca="true">IFERROR(COUNTIF(OFFSET(预测日志!$M$1,B3-MIN(30,B3)+1,0,MIN(30,B3),1),"√")/MIN(30,B3),"-")</f>
        <v>0.571428571428571</v>
      </c>
    </row>
    <row r="8" customFormat="false" ht="15" hidden="false" customHeight="true" outlineLevel="0" collapsed="false">
      <c r="A8" s="19" t="s">
        <v>171</v>
      </c>
      <c r="B8" s="23" t="n">
        <f aca="true">IFERROR(COUNTIF(OFFSET(预测日志!$N$1,B3-MIN(30,B3)+1,0,MIN(30,B3),1),"√")/MIN(30,B3),"-")</f>
        <v>0.428571428571429</v>
      </c>
    </row>
    <row r="9" customFormat="false" ht="15" hidden="false" customHeight="true" outlineLevel="0" collapsed="false">
      <c r="A9" s="19" t="s">
        <v>172</v>
      </c>
      <c r="B9" s="20" t="n">
        <f aca="false">IFERROR(COUNTIFS(预测日志!O2:O1000,"趋势*",预测日志!M2:M1000,"√")/(COUNTIFS(预测日志!O2:O1000,"趋势*",预测日志!M2:M1000,"√")+COUNTIFS(预测日志!O2:O1000,"趋势*",预测日志!M2:M1000,"×")),"-")</f>
        <v>0.545454545454545</v>
      </c>
    </row>
    <row r="10" customFormat="false" ht="15" hidden="false" customHeight="true" outlineLevel="0" collapsed="false">
      <c r="A10" s="19" t="s">
        <v>173</v>
      </c>
      <c r="B10" s="20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4" t="s">
        <v>174</v>
      </c>
    </row>
    <row r="13" customFormat="false" ht="15" hidden="false" customHeight="true" outlineLevel="0" collapsed="false">
      <c r="A13" s="3" t="s">
        <v>175</v>
      </c>
      <c r="B13" s="1" t="n">
        <f aca="false">COUNT(预测日志!R2:R1000)</f>
        <v>29</v>
      </c>
    </row>
    <row r="14" customFormat="false" ht="15" hidden="false" customHeight="true" outlineLevel="0" collapsed="false">
      <c r="A14" s="3" t="s">
        <v>176</v>
      </c>
      <c r="B14" s="1" t="n">
        <f aca="false">COUNTIFS(预测日志!R2:R1000,"&gt;0",预测日志!M2:M1000,"√")+COUNTIFS(预测日志!R2:R1000,"&gt;0",预测日志!M2:M1000,"×")</f>
        <v>28</v>
      </c>
    </row>
    <row r="15" customFormat="false" ht="15" hidden="false" customHeight="true" outlineLevel="0" collapsed="false">
      <c r="A15" s="3" t="s">
        <v>177</v>
      </c>
      <c r="B15" s="1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5" t="s">
        <v>179</v>
      </c>
    </row>
    <row r="3" customFormat="false" ht="15" hidden="false" customHeight="true" outlineLevel="0" collapsed="false">
      <c r="A3" s="26" t="s">
        <v>180</v>
      </c>
      <c r="B3" s="27" t="s">
        <v>181</v>
      </c>
    </row>
    <row r="4" customFormat="false" ht="15" hidden="false" customHeight="true" outlineLevel="0" collapsed="false">
      <c r="A4" s="26" t="s">
        <v>182</v>
      </c>
      <c r="B4" s="27" t="s">
        <v>183</v>
      </c>
    </row>
    <row r="5" customFormat="false" ht="15" hidden="false" customHeight="true" outlineLevel="0" collapsed="false">
      <c r="A5" s="26" t="s">
        <v>184</v>
      </c>
      <c r="B5" s="27" t="s">
        <v>185</v>
      </c>
    </row>
    <row r="6" customFormat="false" ht="15" hidden="false" customHeight="true" outlineLevel="0" collapsed="false">
      <c r="A6" s="26" t="s">
        <v>186</v>
      </c>
      <c r="B6" s="27" t="s">
        <v>187</v>
      </c>
    </row>
    <row r="7" customFormat="false" ht="15" hidden="false" customHeight="true" outlineLevel="0" collapsed="false">
      <c r="A7" s="26" t="s">
        <v>188</v>
      </c>
      <c r="B7" s="27" t="s">
        <v>189</v>
      </c>
    </row>
    <row r="8" customFormat="false" ht="15" hidden="false" customHeight="true" outlineLevel="0" collapsed="false">
      <c r="A8" s="26" t="s">
        <v>7</v>
      </c>
      <c r="B8" s="27" t="s">
        <v>190</v>
      </c>
    </row>
    <row r="9" customFormat="false" ht="15" hidden="false" customHeight="true" outlineLevel="0" collapsed="false">
      <c r="A9" s="26" t="s">
        <v>14</v>
      </c>
      <c r="B9" s="27" t="s">
        <v>191</v>
      </c>
    </row>
    <row r="10" customFormat="false" ht="15" hidden="false" customHeight="true" outlineLevel="0" collapsed="false">
      <c r="A10" s="26" t="s">
        <v>192</v>
      </c>
      <c r="B10" s="28" t="s">
        <v>193</v>
      </c>
    </row>
    <row r="11" customFormat="false" ht="15" hidden="false" customHeight="true" outlineLevel="0" collapsed="false">
      <c r="A11" s="26" t="s">
        <v>194</v>
      </c>
      <c r="B11" s="27" t="s">
        <v>195</v>
      </c>
    </row>
    <row r="12" customFormat="false" ht="15" hidden="false" customHeight="true" outlineLevel="0" collapsed="false">
      <c r="A12" s="26" t="s">
        <v>196</v>
      </c>
      <c r="B12" s="28" t="s">
        <v>197</v>
      </c>
    </row>
    <row r="13" customFormat="false" ht="15" hidden="false" customHeight="true" outlineLevel="0" collapsed="false">
      <c r="A13" s="3" t="s">
        <v>17</v>
      </c>
      <c r="B13" s="3" t="s">
        <v>198</v>
      </c>
    </row>
    <row r="14" customFormat="false" ht="15" hidden="false" customHeight="true" outlineLevel="0" collapsed="false">
      <c r="A14" s="3" t="s">
        <v>199</v>
      </c>
      <c r="B14" s="3" t="s">
        <v>200</v>
      </c>
    </row>
    <row r="15" customFormat="false" ht="15" hidden="false" customHeight="true" outlineLevel="0" collapsed="false">
      <c r="A15" s="3" t="s">
        <v>201</v>
      </c>
      <c r="B15" s="1" t="s">
        <v>202</v>
      </c>
    </row>
    <row r="16" customFormat="false" ht="15" hidden="false" customHeight="true" outlineLevel="0" collapsed="false">
      <c r="A16" s="3" t="s">
        <v>203</v>
      </c>
      <c r="B16" s="3" t="s">
        <v>204</v>
      </c>
    </row>
    <row r="17" customFormat="false" ht="15" hidden="false" customHeight="true" outlineLevel="0" collapsed="false">
      <c r="A17" s="3" t="s">
        <v>205</v>
      </c>
      <c r="B17" s="3" t="s">
        <v>206</v>
      </c>
    </row>
    <row r="18" customFormat="false" ht="15" hidden="false" customHeight="true" outlineLevel="0" collapsed="false">
      <c r="A18" s="3" t="s">
        <v>207</v>
      </c>
      <c r="B18" s="3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2026-09-30T22:47:03Z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