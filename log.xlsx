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<sst xmlns="http://schemas.openxmlformats.org/spreadsheetml/2006/main" count="194" uniqueCount="130">
  <si>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</si>
  <si>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</si>
  <si>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</si>
  <si>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</si>
  <si>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</si>
  <si>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</si>
  <si>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</si>
  <si>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</si>
  <si>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</si>
  <si>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</si>
  <si>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</si>
  <si>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</si>
  <si>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</si>
  <si>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</si>
  <si>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</si>
  <si>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</si>
  <si>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</si>
  <si>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</si>
  <si>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</si>
  <si>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</si>
  <si>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</si>
  <si>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</si>
  <si>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</si>
  <si>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</si>
  <si>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</si>
  <si>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</si>
  <si>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</si>
  <si>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</si>
  <si>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</si>
  <si>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</si>
  <si>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</si>
  <si>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</si>
  <si>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</si>
  <si>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</si>
  <si>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</si>
  <si>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</si>
  <si>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</si>
  <si>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</si>
  <si>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</si>
  <si>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</si>
  <si>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</si>
  <si>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</si>
  <si>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</si>
  <si>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</si>
  <si>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</si>
  <si>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</si>
  <si>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</si>
  <si>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</si>
  <si>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</si>
  <si>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</si>
  <si>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</si>
  <si>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</si>
  <si>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</si>
  <si>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</si>
  <si>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</si>
  <si>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</si>
  <si>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</si>
  <si>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</si>
  <si>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</si>
  <si>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</si>
  <si>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</si>
  <si>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</si>
  <si>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</si>
  <si>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</si>
  <si>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</si>
  <si>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</si>
  <si>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</si>
  <si>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</si>
  <si>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</si>
  <si>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</si>
  <si>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</si>
  <si>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</si>
  <si>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</si>
  <si>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</si>
  <si>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</si>
  <si>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</si>
  <si>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</si>
  <si>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</si>
  <si>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</si>
  <si>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</si>
  <si>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</si>
  <si>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</si>
  <si>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</si>
  <si>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</si>
  <si>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r>
      <rPr>
        <sz val="11"/>
        <color rgb="FF000000"/>
        <rFont val="Noto Sans CJK SC"/>
        <family val="2"/>
      </rPr>
      <t xml:space="preserve">震荡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+1.55%,60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+1.09%</t>
    </r>
    <r>
      <rPr>
        <sz val="11"/>
        <color rgb="FF000000"/>
        <rFont val="Noto Sans CJK SC"/>
        <family val="2"/>
      </rPr>
      <t xml:space="preserve">自</t>
    </r>
    <r>
      <rPr>
        <sz val="11"/>
        <color rgb="FF000000"/>
        <rFont val="Calibri"/>
        <family val="2"/>
        <charset val="1"/>
      </rPr>
      <t xml:space="preserve">4663</t>
    </r>
    <r>
      <rPr>
        <sz val="11"/>
        <color rgb="FF000000"/>
        <rFont val="Noto Sans CJK SC"/>
        <family val="2"/>
      </rPr>
      <t xml:space="preserve">回落后重返区间起点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伴短期下行加速</t>
    </r>
    <r>
      <rPr>
        <sz val="11"/>
        <color rgb="FF000000"/>
        <rFont val="Calibri"/>
        <family val="2"/>
        <charset val="1"/>
      </rPr>
      <t xml:space="preserve">(10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-5.60%</t>
    </r>
    <r>
      <rPr>
        <sz val="11"/>
        <color rgb="FF000000"/>
        <rFont val="Noto Sans CJK SC"/>
        <family val="2"/>
      </rPr>
      <t xml:space="preserve">三连阴破</t>
    </r>
    <r>
      <rPr>
        <sz val="11"/>
        <color rgb="FF000000"/>
        <rFont val="Calibri"/>
        <family val="2"/>
        <charset val="1"/>
      </rPr>
      <t xml:space="preserve">4400,</t>
    </r>
    <r>
      <rPr>
        <sz val="11"/>
        <color rgb="FF000000"/>
        <rFont val="Noto Sans CJK SC"/>
        <family val="2"/>
      </rPr>
      <t xml:space="preserve">逼近百日线</t>
    </r>
    <r>
      <rPr>
        <sz val="11"/>
        <color rgb="FF000000"/>
        <rFont val="Calibri"/>
        <family val="2"/>
        <charset val="1"/>
      </rPr>
      <t xml:space="preserve">4346)</t>
    </r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</si>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</sst>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16" t="s">
        <v>44</v>
      </c>
      <c r="E14" s="16" t="s">
        <v>33</v>
      </c>
      <c r="F14" s="16" t="s">
        <v>44</v>
      </c>
      <c r="G14" s="16" t="s">
        <v>33</v>
      </c>
      <c r="H14" s="16" t="s">
        <v>22</v>
      </c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16" t="s">
        <v>84</v>
      </c>
      <c r="P14" s="4" t="s">
        <v>85</v>
      </c>
      <c r="Q14" s="4"/>
      <c r="R14" s="0" t="n">
        <v>60</v>
      </c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86</v>
      </c>
    </row>
    <row r="3" customFormat="false" ht="15" hidden="false" customHeight="true" outlineLevel="0" collapsed="false">
      <c r="A3" s="18" t="s">
        <v>87</v>
      </c>
      <c r="B3" s="19" t="n">
        <f aca="false">COUNTIF(预测日志!M2:M1000,"√")+COUNTIF(预测日志!M2:M1000,"×")</f>
        <v>12</v>
      </c>
    </row>
    <row r="4" customFormat="false" ht="15" hidden="false" customHeight="true" outlineLevel="0" collapsed="false">
      <c r="A4" s="18" t="s">
        <v>88</v>
      </c>
      <c r="B4" s="19" t="n">
        <f aca="false">COUNTA(预测日志!A2:A1000)</f>
        <v>13</v>
      </c>
    </row>
    <row r="5" customFormat="false" ht="15" hidden="false" customHeight="true" outlineLevel="0" collapsed="false">
      <c r="A5" s="20" t="s">
        <v>89</v>
      </c>
      <c r="B5" s="21" t="n">
        <f aca="false">IFERROR(COUNTIF(预测日志!M2:M1000,"√")/B3,"-")</f>
        <v>0.583333333333333</v>
      </c>
    </row>
    <row r="6" customFormat="false" ht="15" hidden="false" customHeight="true" outlineLevel="0" collapsed="false">
      <c r="A6" s="18" t="s">
        <v>90</v>
      </c>
      <c r="B6" s="22" t="n">
        <f aca="false">IFERROR(COUNTIF(预测日志!N2:N1000,"√")/(COUNTIF(预测日志!N2:N1000,"√")+COUNTIF(预测日志!N2:N1000,"×")),"-")</f>
        <v>0.333333333333333</v>
      </c>
    </row>
    <row r="7" customFormat="false" ht="15" hidden="false" customHeight="true" outlineLevel="0" collapsed="false">
      <c r="A7" s="20" t="s">
        <v>91</v>
      </c>
      <c r="B7" s="21" t="n">
        <f aca="true">IFERROR(COUNTIF(OFFSET(预测日志!$M$1,B3-MIN(30,B3)+1,0,MIN(30,B3),1),"√")/MIN(30,B3),"-")</f>
        <v>0.583333333333333</v>
      </c>
    </row>
    <row r="8" customFormat="false" ht="15" hidden="false" customHeight="true" outlineLevel="0" collapsed="false">
      <c r="A8" s="18" t="s">
        <v>92</v>
      </c>
      <c r="B8" s="22" t="n">
        <f aca="true">IFERROR(COUNTIF(OFFSET(预测日志!$N$1,B3-MIN(30,B3)+1,0,MIN(30,B3),1),"√")/MIN(30,B3),"-")</f>
        <v>0.333333333333333</v>
      </c>
    </row>
    <row r="9" customFormat="false" ht="15" hidden="false" customHeight="true" outlineLevel="0" collapsed="false">
      <c r="A9" s="18" t="s">
        <v>93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8" t="s">
        <v>94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95</v>
      </c>
    </row>
    <row r="13" customFormat="false" ht="15" hidden="false" customHeight="true" outlineLevel="0" collapsed="false">
      <c r="A13" s="3" t="s">
        <v>96</v>
      </c>
      <c r="B13" s="1" t="n">
        <f aca="false">COUNT(预测日志!R2:R1000)</f>
        <v>13</v>
      </c>
    </row>
    <row r="14" customFormat="false" ht="15" hidden="false" customHeight="true" outlineLevel="0" collapsed="false">
      <c r="A14" s="3" t="s">
        <v>97</v>
      </c>
      <c r="B14" s="1" t="n">
        <f aca="false">COUNTIFS(预测日志!R2:R1000,"&gt;0",预测日志!M2:M1000,"√")+COUNTIFS(预测日志!R2:R1000,"&gt;0",预测日志!M2:M1000,"×")</f>
        <v>12</v>
      </c>
    </row>
    <row r="15" customFormat="false" ht="15" hidden="false" customHeight="true" outlineLevel="0" collapsed="false">
      <c r="A15" s="3" t="s">
        <v>98</v>
      </c>
      <c r="B15" s="1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100</v>
      </c>
    </row>
    <row r="3" customFormat="false" ht="15" hidden="false" customHeight="true" outlineLevel="0" collapsed="false">
      <c r="A3" s="25" t="s">
        <v>101</v>
      </c>
      <c r="B3" s="26" t="s">
        <v>102</v>
      </c>
    </row>
    <row r="4" customFormat="false" ht="15" hidden="false" customHeight="true" outlineLevel="0" collapsed="false">
      <c r="A4" s="25" t="s">
        <v>103</v>
      </c>
      <c r="B4" s="26" t="s">
        <v>104</v>
      </c>
    </row>
    <row r="5" customFormat="false" ht="15" hidden="false" customHeight="true" outlineLevel="0" collapsed="false">
      <c r="A5" s="25" t="s">
        <v>105</v>
      </c>
      <c r="B5" s="26" t="s">
        <v>106</v>
      </c>
    </row>
    <row r="6" customFormat="false" ht="15" hidden="false" customHeight="true" outlineLevel="0" collapsed="false">
      <c r="A6" s="25" t="s">
        <v>107</v>
      </c>
      <c r="B6" s="26" t="s">
        <v>108</v>
      </c>
    </row>
    <row r="7" customFormat="false" ht="15" hidden="false" customHeight="true" outlineLevel="0" collapsed="false">
      <c r="A7" s="25" t="s">
        <v>109</v>
      </c>
      <c r="B7" s="26" t="s">
        <v>110</v>
      </c>
    </row>
    <row r="8" customFormat="false" ht="15" hidden="false" customHeight="true" outlineLevel="0" collapsed="false">
      <c r="A8" s="25" t="s">
        <v>7</v>
      </c>
      <c r="B8" s="26" t="s">
        <v>111</v>
      </c>
    </row>
    <row r="9" customFormat="false" ht="15" hidden="false" customHeight="true" outlineLevel="0" collapsed="false">
      <c r="A9" s="25" t="s">
        <v>14</v>
      </c>
      <c r="B9" s="26" t="s">
        <v>112</v>
      </c>
    </row>
    <row r="10" customFormat="false" ht="15" hidden="false" customHeight="true" outlineLevel="0" collapsed="false">
      <c r="A10" s="25" t="s">
        <v>113</v>
      </c>
      <c r="B10" s="27" t="s">
        <v>114</v>
      </c>
    </row>
    <row r="11" customFormat="false" ht="15" hidden="false" customHeight="true" outlineLevel="0" collapsed="false">
      <c r="A11" s="25" t="s">
        <v>115</v>
      </c>
      <c r="B11" s="26" t="s">
        <v>116</v>
      </c>
    </row>
    <row r="12" customFormat="false" ht="15" hidden="false" customHeight="true" outlineLevel="0" collapsed="false">
      <c r="A12" s="25" t="s">
        <v>117</v>
      </c>
      <c r="B12" s="27" t="s">
        <v>118</v>
      </c>
    </row>
    <row r="13" customFormat="false" ht="15" hidden="false" customHeight="true" outlineLevel="0" collapsed="false">
      <c r="A13" s="3" t="s">
        <v>17</v>
      </c>
      <c r="B13" s="3" t="s">
        <v>119</v>
      </c>
    </row>
    <row r="14" customFormat="false" ht="15" hidden="false" customHeight="true" outlineLevel="0" collapsed="false">
      <c r="A14" s="3" t="s">
        <v>120</v>
      </c>
      <c r="B14" s="3" t="s">
        <v>121</v>
      </c>
    </row>
    <row r="15" customFormat="false" ht="15" hidden="false" customHeight="true" outlineLevel="0" collapsed="false">
      <c r="A15" s="3" t="s">
        <v>122</v>
      </c>
      <c r="B15" s="1" t="s">
        <v>123</v>
      </c>
    </row>
    <row r="16" customFormat="false" ht="15" hidden="false" customHeight="true" outlineLevel="0" collapsed="false">
      <c r="A16" s="3" t="s">
        <v>124</v>
      </c>
      <c r="B16" s="3" t="s">
        <v>125</v>
      </c>
    </row>
    <row r="17" customFormat="false" ht="15" hidden="false" customHeight="true" outlineLevel="0" collapsed="false">
      <c r="A17" s="3" t="s">
        <v>126</v>
      </c>
      <c r="B17" s="3" t="s">
        <v>127</v>
      </c>
    </row>
    <row r="18" customFormat="false" ht="15" hidden="false" customHeight="true" outlineLevel="0" collapsed="false">
      <c r="A18" s="3" t="s">
        <v>128</v>
      </c>
      <c r="B18" s="3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2026-09-08T22:37:55Z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