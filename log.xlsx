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<sst xmlns="http://schemas.openxmlformats.org/spreadsheetml/2006/main" count="274" uniqueCount="170">
  <si>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</si>
  <si>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</si>
  <si>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</si>
  <si>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</si>
  <si>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</si>
  <si>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</si>
  <si>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</si>
  <si>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</si>
  <si>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</si>
  <si>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</si>
  <si>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</si>
  <si>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</si>
  <si>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</si>
  <si>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</si>
  <si>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</si>
  <si>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</si>
  <si>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</si>
  <si>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</si>
  <si>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</si>
  <si>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</si>
  <si>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</si>
  <si>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</si>
  <si>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</si>
  <si>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</si>
  <si>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</si>
  <si>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</si>
  <si>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</si>
  <si>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</si>
  <si>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</si>
  <si>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</si>
  <si>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</si>
  <si>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</si>
  <si>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</si>
  <si>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</si>
  <si>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</si>
  <si>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</si>
  <si>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</si>
  <si>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</si>
  <si>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</si>
  <si>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</si>
  <si>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</si>
  <si>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</si>
  <si>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</si>
  <si>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</si>
  <si>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</si>
  <si>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</si>
  <si>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</si>
  <si>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</si>
  <si>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</si>
  <si>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</si>
  <si>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</si>
  <si>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</si>
  <si>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</si>
  <si>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</si>
  <si>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</si>
  <si>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</si>
  <si>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</si>
  <si>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</si>
  <si>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</si>
  <si>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</si>
  <si>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</si>
  <si>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</si>
  <si>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</si>
  <si>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</si>
  <si>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</si>
  <si>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</si>
  <si>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</si>
  <si>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</si>
  <si>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</si>
  <si>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</si>
  <si>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</si>
  <si>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</si>
  <si>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</si>
  <si>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</si>
  <si>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</si>
  <si>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</si>
  <si>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</si>
  <si>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</si>
  <si>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</si>
  <si>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</si>
  <si>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</si>
  <si>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</si>
  <si>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</si>
  <si>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</si>
  <si>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</si>
  <si>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</si>
  <si>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</si>
  <si>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</si>
  <si>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</si>
  <si>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</si>
  <si>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</si>
  <si>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</si>
  <si>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</si>
  <si>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</si>
  <si>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</si>
  <si>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</si>
  <si>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</si>
  <si>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</si>
  <si>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</si>
  <si>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</si>
  <si>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</si>
  <si>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</si>
  <si>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</si>
  <si>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</si>
  <si>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</si>
  <si>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</si>
  <si>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</si>
  <si>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</si>
  <si>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</si>
  <si>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</si>
  <si>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</si>
  <si>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</si>
  <si>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</si>
  <si>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</si>
  <si>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</si>
  <si>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</si>
  <si>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</si>
  <si>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</si>
  <si>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</si>
  <si>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</si>
  <si>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</si>
  <si>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</si>
  <si>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</si>
  <si>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-3.01%·</t>
    </r>
    <r>
      <rPr>
        <sz val="11"/>
        <color rgb="FF000000"/>
        <rFont val="Noto Sans CJK SC"/>
        <family val="2"/>
      </rPr>
      <t xml:space="preserve">窗口滚动由震荡翻空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+6.78%</t>
    </r>
    <r>
      <rPr>
        <sz val="11"/>
        <color rgb="FF000000"/>
        <rFont val="Noto Sans CJK SC"/>
        <family val="2"/>
      </rPr>
      <t xml:space="preserve">长期涨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-1.52%</t>
    </r>
    <r>
      <rPr>
        <sz val="11"/>
        <color rgb="FF000000"/>
        <rFont val="Noto Sans CJK SC"/>
        <family val="2"/>
      </rPr>
      <t xml:space="preserve">短期修复背离</t>
    </r>
    <r>
      <rPr>
        <sz val="11"/>
        <color rgb="FF000000"/>
        <rFont val="Calibri"/>
        <family val="2"/>
        <charset val="1"/>
      </rPr>
      <t xml:space="preserve">·FOMC</t>
    </r>
    <r>
      <rPr>
        <sz val="11"/>
        <color rgb="FF000000"/>
        <rFont val="Noto Sans CJK SC"/>
        <family val="2"/>
      </rPr>
      <t xml:space="preserve">鹰派落地后第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交易日</t>
    </r>
  </si>
  <si>
    <r>
      <rPr>
        <sz val="11"/>
        <color rgb="FF000000"/>
        <rFont val="Noto Sans CJK SC"/>
        <family val="2"/>
      </rPr>
      <t xml:space="preserve">周五午后冲</t>
    </r>
    <r>
      <rPr>
        <sz val="11"/>
        <color rgb="FF000000"/>
        <rFont val="Calibri"/>
        <family val="2"/>
        <charset val="1"/>
      </rPr>
      <t xml:space="preserve">$4,396.9</t>
    </r>
    <r>
      <rPr>
        <sz val="11"/>
        <color rgb="FF000000"/>
        <rFont val="Noto Sans CJK SC"/>
        <family val="2"/>
      </rPr>
      <t xml:space="preserve">遭</t>
    </r>
    <r>
      <rPr>
        <sz val="11"/>
        <color rgb="FF000000"/>
        <rFont val="Calibri"/>
        <family val="2"/>
        <charset val="1"/>
      </rPr>
      <t xml:space="preserve">$4,380-4,400</t>
    </r>
    <r>
      <rPr>
        <sz val="11"/>
        <color rgb="FF000000"/>
        <rFont val="Noto Sans CJK SC"/>
        <family val="2"/>
      </rPr>
      <t xml:space="preserve">阻力带打回收</t>
    </r>
    <r>
      <rPr>
        <sz val="11"/>
        <color rgb="FF000000"/>
        <rFont val="Calibri"/>
        <family val="2"/>
        <charset val="1"/>
      </rPr>
      <t xml:space="preserve">$4,379+</t>
    </r>
    <r>
      <rPr>
        <sz val="11"/>
        <color rgb="FF000000"/>
        <rFont val="Noto Sans CJK SC"/>
        <family val="2"/>
      </rPr>
      <t xml:space="preserve">周一平开</t>
    </r>
    <r>
      <rPr>
        <sz val="11"/>
        <color rgb="FF000000"/>
        <rFont val="Calibri"/>
        <family val="2"/>
        <charset val="1"/>
      </rPr>
      <t xml:space="preserve">$4,377.5</t>
    </r>
    <r>
      <rPr>
        <sz val="11"/>
        <color rgb="FF000000"/>
        <rFont val="Noto Sans CJK SC"/>
        <family val="2"/>
      </rPr>
      <t xml:space="preserve">无追涨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三连降至</t>
    </r>
    <r>
      <rPr>
        <sz val="11"/>
        <color rgb="FF000000"/>
        <rFont val="Calibri"/>
        <family val="2"/>
        <charset val="1"/>
      </rPr>
      <t xml:space="preserve">14.81</t>
    </r>
    <r>
      <rPr>
        <sz val="11"/>
        <color rgb="FF000000"/>
        <rFont val="Noto Sans CJK SC"/>
        <family val="2"/>
      </rPr>
      <t xml:space="preserve">避险退潮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]+20</t>
    </r>
    <r>
      <rPr>
        <sz val="11"/>
        <color rgb="FF000000"/>
        <rFont val="Noto Sans CJK SC"/>
        <family val="2"/>
      </rPr>
      <t xml:space="preserve">日窗口滚动翻趋势跌</t>
    </r>
    <r>
      <rPr>
        <sz val="11"/>
        <color rgb="FF000000"/>
        <rFont val="Calibri"/>
        <family val="2"/>
        <charset val="1"/>
      </rPr>
      <t xml:space="preserve">-3.01%+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年内再加息余波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 vs </t>
    </r>
    <r>
      <rPr>
        <sz val="11"/>
        <color rgb="FF000000"/>
        <rFont val="Noto Sans CJK SC"/>
        <family val="2"/>
      </rPr>
      <t xml:space="preserve">央行连购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个月与地缘尾部垫底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</t>
    </r>
  </si>
  <si>
    <r>
      <rPr>
        <sz val="11"/>
        <color rgb="FF000000"/>
        <rFont val="Noto Sans CJK SC"/>
        <family val="2"/>
      </rPr>
      <t xml:space="preserve">周一</t>
    </r>
    <r>
      <rPr>
        <sz val="11"/>
        <color rgb="FF000000"/>
        <rFont val="Calibri"/>
        <family val="2"/>
        <charset val="1"/>
      </rPr>
      <t xml:space="preserve">06:53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阻力带供给周五实测确认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平开无追涨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避险退潮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市况翻趋势跌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两连涨窗口后回吐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校准达标</t>
    </r>
    <r>
      <rPr>
        <sz val="11"/>
        <color rgb="FF000000"/>
        <rFont val="Calibri"/>
        <family val="2"/>
        <charset val="1"/>
      </rPr>
      <t xml:space="preserve">20/20(</t>
    </r>
    <r>
      <rPr>
        <sz val="11"/>
        <color rgb="FF000000"/>
        <rFont val="Noto Sans CJK SC"/>
        <family val="2"/>
      </rPr>
      <t xml:space="preserve">校准良好</t>
    </r>
    <r>
      <rPr>
        <sz val="11"/>
        <color rgb="FF000000"/>
        <rFont val="Calibri"/>
        <family val="2"/>
        <charset val="1"/>
      </rPr>
      <t xml:space="preserve">+4.0pp</t>
    </r>
    <r>
      <rPr>
        <sz val="11"/>
        <color rgb="FF000000"/>
        <rFont val="Noto Sans CJK SC"/>
        <family val="2"/>
      </rPr>
      <t xml:space="preserve">偏保守</t>
    </r>
    <r>
      <rPr>
        <sz val="11"/>
        <color rgb="FF000000"/>
        <rFont val="Calibri"/>
        <family val="2"/>
        <charset val="1"/>
      </rPr>
      <t xml:space="preserve">,Brier 0.2440),</t>
    </r>
    <r>
      <rPr>
        <sz val="11"/>
        <color rgb="FF000000"/>
        <rFont val="Noto Sans CJK SC"/>
        <family val="2"/>
      </rPr>
      <t xml:space="preserve">冻结期已满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三条待改项待用户定夺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本判断沿用冻结前规则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</si>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</sst>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16" t="s">
        <v>44</v>
      </c>
      <c r="E22" s="16" t="s">
        <v>33</v>
      </c>
      <c r="F22" s="16" t="s">
        <v>44</v>
      </c>
      <c r="G22" s="16" t="s">
        <v>33</v>
      </c>
      <c r="H22" s="16" t="s">
        <v>22</v>
      </c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16" t="s">
        <v>123</v>
      </c>
      <c r="P22" s="16" t="s">
        <v>124</v>
      </c>
      <c r="Q22" s="16" t="s">
        <v>125</v>
      </c>
      <c r="R22" s="0" t="n">
        <v>55</v>
      </c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126</v>
      </c>
    </row>
    <row r="3" customFormat="false" ht="15" hidden="false" customHeight="true" outlineLevel="0" collapsed="false">
      <c r="A3" s="18" t="s">
        <v>127</v>
      </c>
      <c r="B3" s="19" t="n">
        <f aca="false">COUNTIF(预测日志!M2:M1000,"√")+COUNTIF(预测日志!M2:M1000,"×")</f>
        <v>20</v>
      </c>
    </row>
    <row r="4" customFormat="false" ht="15" hidden="false" customHeight="true" outlineLevel="0" collapsed="false">
      <c r="A4" s="18" t="s">
        <v>128</v>
      </c>
      <c r="B4" s="19" t="n">
        <f aca="false">COUNTA(预测日志!A2:A1000)</f>
        <v>21</v>
      </c>
    </row>
    <row r="5" customFormat="false" ht="15" hidden="false" customHeight="true" outlineLevel="0" collapsed="false">
      <c r="A5" s="20" t="s">
        <v>129</v>
      </c>
      <c r="B5" s="21" t="n">
        <f aca="false">IFERROR(COUNTIF(预测日志!M2:M1000,"√")/B3,"-")</f>
        <v>0.6</v>
      </c>
    </row>
    <row r="6" customFormat="false" ht="15" hidden="false" customHeight="true" outlineLevel="0" collapsed="false">
      <c r="A6" s="18" t="s">
        <v>130</v>
      </c>
      <c r="B6" s="22" t="n">
        <f aca="false">IFERROR(COUNTIF(预测日志!N2:N1000,"√")/(COUNTIF(预测日志!N2:N1000,"√")+COUNTIF(预测日志!N2:N1000,"×")),"-")</f>
        <v>0.4</v>
      </c>
    </row>
    <row r="7" customFormat="false" ht="15" hidden="false" customHeight="true" outlineLevel="0" collapsed="false">
      <c r="A7" s="20" t="s">
        <v>131</v>
      </c>
      <c r="B7" s="21" t="n">
        <f aca="true">IFERROR(COUNTIF(OFFSET(预测日志!$M$1,B3-MIN(30,B3)+1,0,MIN(30,B3),1),"√")/MIN(30,B3),"-")</f>
        <v>0.6</v>
      </c>
    </row>
    <row r="8" customFormat="false" ht="15" hidden="false" customHeight="true" outlineLevel="0" collapsed="false">
      <c r="A8" s="18" t="s">
        <v>132</v>
      </c>
      <c r="B8" s="22" t="n">
        <f aca="true">IFERROR(COUNTIF(OFFSET(预测日志!$N$1,B3-MIN(30,B3)+1,0,MIN(30,B3),1),"√")/MIN(30,B3),"-")</f>
        <v>0.4</v>
      </c>
    </row>
    <row r="9" customFormat="false" ht="15" hidden="false" customHeight="true" outlineLevel="0" collapsed="false">
      <c r="A9" s="18" t="s">
        <v>133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0.571428571428571</v>
      </c>
    </row>
    <row r="10" customFormat="false" ht="15" hidden="false" customHeight="true" outlineLevel="0" collapsed="false">
      <c r="A10" s="18" t="s">
        <v>134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135</v>
      </c>
    </row>
    <row r="13" customFormat="false" ht="15" hidden="false" customHeight="true" outlineLevel="0" collapsed="false">
      <c r="A13" s="3" t="s">
        <v>136</v>
      </c>
      <c r="B13" s="1" t="n">
        <f aca="false">COUNT(预测日志!R2:R1000)</f>
        <v>21</v>
      </c>
    </row>
    <row r="14" customFormat="false" ht="15" hidden="false" customHeight="true" outlineLevel="0" collapsed="false">
      <c r="A14" s="3" t="s">
        <v>137</v>
      </c>
      <c r="B14" s="1" t="n">
        <f aca="false">COUNTIFS(预测日志!R2:R1000,"&gt;0",预测日志!M2:M1000,"√")+COUNTIFS(预测日志!R2:R1000,"&gt;0",预测日志!M2:M1000,"×")</f>
        <v>20</v>
      </c>
    </row>
    <row r="15" customFormat="false" ht="15" hidden="false" customHeight="true" outlineLevel="0" collapsed="false">
      <c r="A15" s="3" t="s">
        <v>138</v>
      </c>
      <c r="B15" s="1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140</v>
      </c>
    </row>
    <row r="3" customFormat="false" ht="15" hidden="false" customHeight="true" outlineLevel="0" collapsed="false">
      <c r="A3" s="25" t="s">
        <v>141</v>
      </c>
      <c r="B3" s="26" t="s">
        <v>142</v>
      </c>
    </row>
    <row r="4" customFormat="false" ht="15" hidden="false" customHeight="true" outlineLevel="0" collapsed="false">
      <c r="A4" s="25" t="s">
        <v>143</v>
      </c>
      <c r="B4" s="26" t="s">
        <v>144</v>
      </c>
    </row>
    <row r="5" customFormat="false" ht="15" hidden="false" customHeight="true" outlineLevel="0" collapsed="false">
      <c r="A5" s="25" t="s">
        <v>145</v>
      </c>
      <c r="B5" s="26" t="s">
        <v>146</v>
      </c>
    </row>
    <row r="6" customFormat="false" ht="15" hidden="false" customHeight="true" outlineLevel="0" collapsed="false">
      <c r="A6" s="25" t="s">
        <v>147</v>
      </c>
      <c r="B6" s="26" t="s">
        <v>148</v>
      </c>
    </row>
    <row r="7" customFormat="false" ht="15" hidden="false" customHeight="true" outlineLevel="0" collapsed="false">
      <c r="A7" s="25" t="s">
        <v>149</v>
      </c>
      <c r="B7" s="26" t="s">
        <v>150</v>
      </c>
    </row>
    <row r="8" customFormat="false" ht="15" hidden="false" customHeight="true" outlineLevel="0" collapsed="false">
      <c r="A8" s="25" t="s">
        <v>7</v>
      </c>
      <c r="B8" s="26" t="s">
        <v>151</v>
      </c>
    </row>
    <row r="9" customFormat="false" ht="15" hidden="false" customHeight="true" outlineLevel="0" collapsed="false">
      <c r="A9" s="25" t="s">
        <v>14</v>
      </c>
      <c r="B9" s="26" t="s">
        <v>152</v>
      </c>
    </row>
    <row r="10" customFormat="false" ht="15" hidden="false" customHeight="true" outlineLevel="0" collapsed="false">
      <c r="A10" s="25" t="s">
        <v>153</v>
      </c>
      <c r="B10" s="27" t="s">
        <v>154</v>
      </c>
    </row>
    <row r="11" customFormat="false" ht="15" hidden="false" customHeight="true" outlineLevel="0" collapsed="false">
      <c r="A11" s="25" t="s">
        <v>155</v>
      </c>
      <c r="B11" s="26" t="s">
        <v>156</v>
      </c>
    </row>
    <row r="12" customFormat="false" ht="15" hidden="false" customHeight="true" outlineLevel="0" collapsed="false">
      <c r="A12" s="25" t="s">
        <v>157</v>
      </c>
      <c r="B12" s="27" t="s">
        <v>158</v>
      </c>
    </row>
    <row r="13" customFormat="false" ht="15" hidden="false" customHeight="true" outlineLevel="0" collapsed="false">
      <c r="A13" s="3" t="s">
        <v>17</v>
      </c>
      <c r="B13" s="3" t="s">
        <v>159</v>
      </c>
    </row>
    <row r="14" customFormat="false" ht="15" hidden="false" customHeight="true" outlineLevel="0" collapsed="false">
      <c r="A14" s="3" t="s">
        <v>160</v>
      </c>
      <c r="B14" s="3" t="s">
        <v>161</v>
      </c>
    </row>
    <row r="15" customFormat="false" ht="15" hidden="false" customHeight="true" outlineLevel="0" collapsed="false">
      <c r="A15" s="3" t="s">
        <v>162</v>
      </c>
      <c r="B15" s="1" t="s">
        <v>163</v>
      </c>
    </row>
    <row r="16" customFormat="false" ht="15" hidden="false" customHeight="true" outlineLevel="0" collapsed="false">
      <c r="A16" s="3" t="s">
        <v>164</v>
      </c>
      <c r="B16" s="3" t="s">
        <v>165</v>
      </c>
    </row>
    <row r="17" customFormat="false" ht="15" hidden="false" customHeight="true" outlineLevel="0" collapsed="false">
      <c r="A17" s="3" t="s">
        <v>166</v>
      </c>
      <c r="B17" s="3" t="s">
        <v>167</v>
      </c>
    </row>
    <row r="18" customFormat="false" ht="15" hidden="false" customHeight="true" outlineLevel="0" collapsed="false">
      <c r="A18" s="3" t="s">
        <v>168</v>
      </c>
      <c r="B18" s="3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2026-09-20T22:55:49Z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