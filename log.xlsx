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<sst xmlns="http://schemas.openxmlformats.org/spreadsheetml/2006/main" count="393" uniqueCount="229">
  <si>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</si>
  <si>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</si>
  <si>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</si>
  <si>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</si>
  <si>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</si>
  <si>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</si>
  <si>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</si>
  <si>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</si>
  <si>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</si>
  <si>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</si>
  <si>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</si>
  <si>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</si>
  <si>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</si>
  <si>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</si>
  <si>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</si>
  <si>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</si>
  <si>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</si>
  <si>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</si>
  <si>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</si>
  <si>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</si>
  <si>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</si>
  <si>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</si>
  <si>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</si>
  <si>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</si>
  <si>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</si>
  <si>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</si>
  <si>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</si>
  <si>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</si>
  <si>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</si>
  <si>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</si>
  <si>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</si>
  <si>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</si>
  <si>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</si>
  <si>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</si>
  <si>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</si>
  <si>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</si>
  <si>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</si>
  <si>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</si>
  <si>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</si>
  <si>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</si>
  <si>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</si>
  <si>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</si>
  <si>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</si>
  <si>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</si>
  <si>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</si>
  <si>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</si>
  <si>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</si>
  <si>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</si>
  <si>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</si>
  <si>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</si>
  <si>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</si>
  <si>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</si>
  <si>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</si>
  <si>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</si>
  <si>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</si>
  <si>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</si>
  <si>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</si>
  <si>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</si>
  <si>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</si>
  <si>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</si>
  <si>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</si>
  <si>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</si>
  <si>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</si>
  <si>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</si>
  <si>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</si>
  <si>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</si>
  <si>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</si>
  <si>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</si>
  <si>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</si>
  <si>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</si>
  <si>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</si>
  <si>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</si>
  <si>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</si>
  <si>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</si>
  <si>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</si>
  <si>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</si>
  <si>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</si>
  <si>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</si>
  <si>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</si>
  <si>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</si>
  <si>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</si>
  <si>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</si>
  <si>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</si>
  <si>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</si>
  <si>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</si>
  <si>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</si>
  <si>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</si>
  <si>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</si>
  <si>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</si>
  <si>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</si>
  <si>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</si>
  <si>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</si>
  <si>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</si>
  <si>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</si>
  <si>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</si>
  <si>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</si>
  <si>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</si>
  <si>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06:40</t>
  </si>
  <si>
    <t xml:space="preserve">震荡(20日+0.3%锯齿)伴长短期背离(60日+5.67%长期趋势涨vs10日-4.00%短期回调)+周五4300假破位反弹受阻(冲高4373.7回落收4349.7,今晨软开4337重回百日线4346下方)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</si>
  <si>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</si>
  <si>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t xml:space="preserve"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</si>
  <si>
    <t xml:space="preserve">2026-09-15</t>
  </si>
  <si>
    <t xml:space="preserve">2026-09-15 06:40</t>
  </si>
  <si>
    <t xml:space="preserve">震荡(20日+0.3%锯齿)伴破位后低位拉锯(周一失守$4300/200日线$4313收$4296.7,日内低$4285.9获承接;60日+5.67%长期趋势涨vs10日约-4%短期下行加速,长短期背离深化)</t>
  </si>
  <si>
    <t xml:space="preserve">近5个交易日涨跌严格交替+$4285-4300两日双守获承接[未释放]+噤声期今日无新鹰派催化+决议(北京周四02:00)在窗外→会前空头获利回补[未释放]+PBOC连买21月(7月+20t)逢低接货[未释放] vs 周一确认技术破位(失守$4300/200日线$4313,周五假破位反弹全数回吐)[部分定价]+CPI后加息押注高企但口径分歧(30%-76%)[部分定价]+CFTC/ETF投机持仓撤离[部分定价]→押超卖低位修复反弹</t>
  </si>
  <si>
    <t xml:space="preserve">周二06:40晨间定时执行成功(克隆仓库版)；方向押涨+档位押中:9/14押跌/中双√(实际-0.93%跌/中)后基于当日信号独立转向(非追结果式:价格由阻力区4337移至两日双守支撑区4296.7,窗口内噤声期无催化+决议移出窗外+5连交替+超卖修复弹性)；FOMC决议北京周四02:00不在窗口内不触发事件降档；规则冻结期沿用既有规则；累计方向9/16(56.3%)、档位6/16(37.5%)；校准样本16/20</t>
  </si>
  <si>
    <t xml:space="preserve">2026-09-16</t>
  </si>
  <si>
    <t xml:space="preserve">2026-09-16 06:50</t>
  </si>
  <si>
    <t xml:space="preserve">趋势跌(20日-2.82%·LBMA9/14单日-2.72%砸穿箱体)·10日动能-6.48%加速下行;60日仅+1.67%长期动能钝化vs短期趋势跌,短期主导;FOMC决议(北京周四02:00)落入窗口内</t>
  </si>
  <si>
    <t xml:space="preserve">20日市况由震荡翻趋势跌+10日动能-6.48%[未释放]+FOMC决议(北京周四02:00)移入窗口:8月CPI/PPI偏热+收益率上行+能源涨价强化加息押注(30%-76%)[部分定价]+破位未修复(100日均线下方,200日线$4,313转压,9/15仅+0.07%弱修复)[部分定价]+锯齿交替昨日涨今日轮跌[未释放] vs PBOC连买21月(7月+20t)+$4,285-4,300三日承接[未释放]+决议若按兵不动空头回补弹性[未释放]→押趋势市空头延续至决议落地</t>
  </si>
  <si>
    <t xml:space="preserve">周三06:50晨间定时执行成功(克隆仓库版)；9/15结算√方向×档位(押涨/中,实际+0.07%涨/小)后转押跌:非追结果式——客观变化=20日市况由震荡(+0.3%)翻转趋势跌(-2.82%)+FOMC决议移入窗口(北京周四02:00)+破位后修复乏力(+0.07%)；事件降档不适用(按9/15口径:事件簇期间会前收敛两次失效,9/10押小实得-1.90%大档,决议反应期在窗内本身即波动源)；规则冻结期沿用既有规则；累计方向10/17(58.8%)、档位6/17(35.3%)；校准样本17/20；【结算修正】凌晨01:00 Actions手动刷新以窗口中段价$4347.9提前结算，按口径(次晨06:30结算)于06:3x以settle.py实取价$4267.70修正</t>
  </si>
  <si>
    <t xml:space="preserve">2026-09-17</t>
  </si>
  <si>
    <t xml:space="preserve">2026-09-17 06:36</t>
  </si>
  <si>
    <t xml:space="preserve">趋势跌(20日-2.49%·FOMC加息25bp落地次日,点阵图16/18指向年内再加息)·10日动能-1.31%·60日+3.88%长期缓涨vs短期下行背离,短期主导;隔夜4368→4263(-1.85%)冲高回落后处超卖低位</t>
  </si>
  <si>
    <t xml:space="preserve">鹰派加息落地:25bp全票(3.75%-4.00%,三年来首次)+点阵图16/18预计年内再加息,2年期收益率上行美元走强,10Y美债4.959%[部分定价]+决议后反弹4313即遭抛售(高点降低),亚市早盘4268续弱[部分定价]+20日趋势跌(-2.49%)未修复,100日均线下方[已定价]+能源涨价通胀链条延长加息路径[部分定价] vs PBOC连买22月(8月+20.2t为2023/10来最大,GS估真实购金2倍)[未释放]+4250-4267平台承接(61.8%回撤+8月平台底)[未释放]+加息92.5%已提前定价,隔夜-1.85%已释放大半冲击[部分定价]+锯齿交替(近7窗口涨跌严格交替,昨跌今轮涨)[未释放]→押鹰派延续压过超卖反弹</t>
  </si>
  <si>
    <t xml:space="preserve">周四06:36晨间定时执行成功(克隆仓库版)；方向押跌+档位押中:FOMC鹰派加息25bp(全票,3.75%-4.00%,三年来首次,点阵图16/18指向年内再加息)落地次日,隔夜4368→4263(-1.85%)后反弹4313再遭抛售+亚市早盘续弱——鹰派延续主导；对冲:锯齿交替(近7窗口严格交替,昨跌今轮涨)+PBOC连买22月(8月+20.2t)+4250-4267平台承接,故置信度仅55%、档位押中(小档风险约30%已计)；事件降档不适用(FOMC已落地,今窗无FOMC/PCE/CPI/非农,今晚仅初请+联储讲话)；防响应式检查:9/16押跌双√后继续押跌基于当日新信号(点阵图+决议后反弹被抛+亚市实弱),非机械追势；规则冻结期沿用既有规则；9/16结算(押跌/中55% vs 实际-0.72%跌/中:方向√档位√,凌晨01:00Actions以中段价4347.9提前结算已按口径修正为06:30实取价4267.70)后累计方向11/18(61.1%)、档位7/18(38.9%)；校准样本18/20</t>
  </si>
  <si>
    <t xml:space="preserve">2026-09-18</t>
  </si>
  <si>
    <t xml:space="preserve">2026-09-18 06:37</t>
  </si>
  <si>
    <t xml:space="preserve">震荡(20日-1.71%)·60日+7.55%长期趋势涨vs10日-1.23%短期修复背离收敛·FOMC落地次日逆势大涨后的延续消化日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</si>
  <si>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利空出尽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鹰派加息落地后隔夜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探底</t>
    </r>
    <r>
      <rPr>
        <sz val="11"/>
        <color rgb="FF000000"/>
        <rFont val="Calibri"/>
        <family val="2"/>
        <charset val="1"/>
      </rPr>
      <t xml:space="preserve">V</t>
    </r>
    <r>
      <rPr>
        <sz val="11"/>
        <color rgb="FF000000"/>
        <rFont val="Noto Sans CJK SC"/>
        <family val="2"/>
      </rPr>
      <t xml:space="preserve">反</t>
    </r>
    <r>
      <rPr>
        <sz val="11"/>
        <color rgb="FF000000"/>
        <rFont val="Calibri"/>
        <family val="2"/>
        <charset val="1"/>
      </rPr>
      <t xml:space="preserve">+1.78%</t>
    </r>
    <r>
      <rPr>
        <sz val="11"/>
        <color rgb="FF000000"/>
        <rFont val="Noto Sans CJK SC"/>
        <family val="2"/>
      </rPr>
      <t xml:space="preserve">收复</t>
    </r>
    <r>
      <rPr>
        <sz val="11"/>
        <color rgb="FF000000"/>
        <rFont val="Calibri"/>
        <family val="2"/>
        <charset val="1"/>
      </rPr>
      <t xml:space="preserve">100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$4,346,</t>
    </r>
    <r>
      <rPr>
        <sz val="11"/>
        <color rgb="FF000000"/>
        <rFont val="Noto Sans CJK SC"/>
        <family val="2"/>
      </rPr>
      <t xml:space="preserve">隔夜稳守</t>
    </r>
    <r>
      <rPr>
        <sz val="11"/>
        <color rgb="FF000000"/>
        <rFont val="Calibri"/>
        <family val="2"/>
        <charset val="1"/>
      </rPr>
      <t xml:space="preserve">$4,340</t>
    </r>
    <r>
      <rPr>
        <sz val="11"/>
        <color rgb="FF000000"/>
        <rFont val="Noto Sans CJK SC"/>
        <family val="2"/>
      </rPr>
      <t xml:space="preserve">上方</t>
    </r>
    <r>
      <rPr>
        <sz val="11"/>
        <color rgb="FF000000"/>
        <rFont val="Calibri"/>
        <family val="2"/>
        <charset val="1"/>
      </rPr>
      <t xml:space="preserve">)·PBOC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</t>
    </r>
    <r>
      <rPr>
        <sz val="11"/>
        <color rgb="FF000000"/>
        <rFont val="Noto Sans CJK SC"/>
        <family val="2"/>
      </rPr>
      <t xml:space="preserve">近三年最大</t>
    </r>
    <r>
      <rPr>
        <sz val="11"/>
        <color rgb="FF000000"/>
        <rFont val="Calibri"/>
        <family val="2"/>
        <charset val="1"/>
      </rPr>
      <t xml:space="preserve">)·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伊朗地缘周末避险留仓；风险</t>
    </r>
    <r>
      <rPr>
        <sz val="11"/>
        <color rgb="FF000000"/>
        <rFont val="Calibri"/>
        <family val="2"/>
        <charset val="1"/>
      </rPr>
      <t xml:space="preserve">:4380-4400</t>
    </r>
    <r>
      <rPr>
        <sz val="11"/>
        <color rgb="FF000000"/>
        <rFont val="Noto Sans CJK SC"/>
        <family val="2"/>
      </rPr>
      <t xml:space="preserve">密集阻力</t>
    </r>
    <r>
      <rPr>
        <sz val="11"/>
        <color rgb="FF000000"/>
        <rFont val="Calibri"/>
        <family val="2"/>
        <charset val="1"/>
      </rPr>
      <t xml:space="preserve">+9/8</t>
    </r>
    <r>
      <rPr>
        <sz val="11"/>
        <color rgb="FF000000"/>
        <rFont val="Noto Sans CJK SC"/>
        <family val="2"/>
      </rPr>
      <t xml:space="preserve">起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窗口涨跌严格交替今轮跌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连涨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日获利回吐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</si>
  <si>
    <t xml:space="preserve">周五06:31定时执行成功(克隆仓库版)；凌晨00:22 Actions提前结算9/17行已按口径修正(中段价4367.8→4346.90)并recalc</t>
  </si>
  <si>
    <t xml:space="preserve">2026-09-21</t>
  </si>
  <si>
    <t xml:space="preserve">2026-09-21 06:53</t>
  </si>
  <si>
    <t xml:space="preserve">趋势跌(20日-3.01%·窗口滚动由震荡翻空)·60日+6.78%长期涨vs10日-1.52%短期修复背离·FOMC鹰派落地后第3交易日</t>
  </si>
  <si>
    <t xml:space="preserve">周五午后冲$4,396.9遭$4,380-4,400阻力带打回收$4,379+周一平开$4,377.5无追涨[未释放]+VIX三连降至14.81避险退潮[部分定价]+20日窗口滚动翻趋势跌-3.01%+点阵图16/18年内再加息余波[已定价] vs 央行连购22个月与地缘尾部垫底[未释放]</t>
  </si>
  <si>
    <t xml:space="preserve">周一06:53晨间定时执行成功(克隆仓库版)；方向押跌+档位押中:阻力带供给周五实测确认+平开无追涨+避险退潮+市况翻趋势跌,两连涨窗口后回吐;校准达标20/20(校准良好+4.0pp偏保守,Brier 0.2440),冻结期已满,三条待改项待用户定夺,本判断沿用冻结前规则</t>
  </si>
  <si>
    <t xml:space="preserve">2026-09-22</t>
  </si>
  <si>
    <t xml:space="preserve">2026-09-22 06:35</t>
  </si>
  <si>
    <t xml:space="preserve">趋势跌(20日-3.01%)·60日+6.78%长期涨vs短期反弹回吐1/3背离·FOMC鹰派落地后第4交易日</t>
  </si>
  <si>
    <t xml:space="preserve">昨收$4,353.9贴$4,348定盘支撑边缘惯性[部分定价]+通胀热数据强化年内再加息预期·美元一个月高位·10Y~4.96%[已定价]+CFTC/ETF投机持仓双降[未释放]+VIX三连降14.81避险退潮[部分定价] vs 央行连购22个月(中国8月+20.2t、波兰Q2+51t)与$4,348技术承接[未释放]</t>
  </si>
  <si>
    <t xml:space="preserve">周二06:35晨间定时执行成功(克隆仓库版);方向押跌+档位押中:支撑边缘惯性+加息预期边际强化+投机离场+卖压叙事主导,两连√后不机械连押亦不因连对加码;校准21/20达标偏保守+6.0pp(Brier 0.2420),冻结期已满,三条待改项待用户定夺,本判断沿用冻结前规则</t>
  </si>
  <si>
    <t xml:space="preserve">2026-09-23</t>
  </si>
  <si>
    <t xml:space="preserve">2026-09-23 06:40</t>
  </si>
  <si>
    <t xml:space="preserve">趋势跌(20日-5.63%·窗口滚动纳入8/21高基数)·60日+7.40%长期涨vs10日-1.78%短期整理背离·FOMC鹰派落地后第5交易日·隔夜深V回补次日</t>
  </si>
  <si>
    <t xml:space="preserve">隔夜V型吸收(下探$4,314.8创两周新低却以$4,364.7更高收盘+0.25%,连续两窗美盘强势回补)[未释放]+央行连购22个月(7月+20t,波兰Q2+51t)与$4,310-4,334双底承接[未释放]+鹰派钝化(加息落地+点阵图已定价,美元/收益率企稳)[已定价] vs $4,380-4,400阻力带两度实测有效[部分定价]+CFTC/ETF投机持仓续降+VIX14.87避险退潮[部分定价]+今窗Fedspeak/PMI偏鹰风险[未释放]→押区间承托的小幅续涨,上沿$4,378为分水岭</t>
  </si>
  <si>
    <t xml:space="preserve">周三06:40晨间定时执行成功(克隆仓库版);9/22结算××(押跌/中vs实际+0.25%涨/小,午后-0.91%在轨被美盘V型回补逆转)后方向转涨:非追结果——独立新证据=更低下探$4,314.8却更高收盘的卖压吸收形态+美元/收益率由续升转企稳;幅度押小:动能衰减(近2窗|-0.54%|→|+0.25%|递减)+事件真空(FOMC已落地,耐用品周五/PCE9/30)+双向关键位距现价&lt;0.4%区间收敛;校准22/20达标校准良好(+3.2pp在±5pp容忍带,Brier0.2448),冻结期已满,三条待改项待用户定夺,本判断沿用冻结前规则</t>
  </si>
  <si>
    <t xml:space="preserve">2026-09-24</t>
  </si>
  <si>
    <t xml:space="preserve">2026-09-24 06:35</t>
  </si>
  <si>
    <t xml:space="preserve">趋势跌(20日-7.16%连续第3日加深)·60日+7.4%长期涨vs10日LBMA-1.58%短期续弱背离·FOMC鹰派落地后第6交易日·昨日破位大阴线次日</t>
  </si>
  <si>
    <t xml:space="preserve">昨日破位大阴线-1.72%(跌穿$4,314.8双底颈线+50%回撤$4,314.66+$4,300整数关,收$4,289.60,场景D兑现)[部分定价]+20日趋势跌加深至-7.16%顺势[已定价]+鹰派加息预期(点阵图16/18年内再加息+PPI/CPI热)美元一个月高位·10Y~4.96%压制[已定价]+VIX四连降至14.21避险溢价归零[部分定价]+CFTC/ETF投机持仓降至2019年中低位[未释放] vs $4,265-4,267三重底(9/14 LBMA/9/18现货/9/23亚市)与央行逢低承接(PBOC 21连月+波兰Q2+51t)[未释放]+昨日sub-$4,300现goodish反弹买盘[未释放]+9/8起8窗口涨跌严格交替[未释放]→押顺势低位阴跌收$4,262-4,276,$4,265为存亡线、$4,314.66为反压确认线</t>
  </si>
  <si>
    <t xml:space="preserve">周四06:32晨间定时执行成功(克隆仓库版);9/23结算××(押涨/小vs实际-1.72%跌/大,场景D兑现且更深)后方向顺势转跌:非追结果——独立依据=破位结构($4,310-4,334三重支撑带单日全数跌穿+隔夜贴$4,289低位横盘无反抽)+趋势标签-7.16%连续加深;幅度押中:破位惯性+20日日均波幅0.99%但$4,265三重底近在-0.5%+央行承接封深跌;校准23/20达标校准良好+0.7pp(Brier0.2473),冻结期已满,三条待改项待用户定夺,本判断沿用冻结前规则;本沙盒无recalc.py,已用soffice重算log.xlsx公式</t>
  </si>
  <si>
    <t xml:space="preserve">2026-09-25</t>
  </si>
  <si>
    <t xml:space="preserve">2026-09-25 06:38</t>
  </si>
  <si>
    <t xml:space="preserve">趋势跌(20日-7.17%连续第4日深位)·60日+7.3%长期涨vs10日LBMA-2.32%短期续弱背离·FOMC鹰派落地后第7交易日·三重底$4,265-4,267上沿压缩待变(-0.15%)·耐用品订单+密歇根终值日</t>
  </si>
  <si>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日趋势跌</t>
    </r>
    <r>
      <rPr>
        <sz val="11"/>
        <color rgb="FF000000"/>
        <rFont val="Calibri"/>
        <family val="2"/>
        <charset val="1"/>
      </rPr>
      <t xml:space="preserve">-7.17%</t>
    </r>
    <r>
      <rPr>
        <sz val="11"/>
        <color rgb="FF000000"/>
        <rFont val="Noto Sans CJK SC"/>
        <family val="2"/>
      </rPr>
      <t xml:space="preserve">连续深位顺势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破位结构未修复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未收复</t>
    </r>
    <r>
      <rPr>
        <sz val="11"/>
        <color rgb="FF000000"/>
        <rFont val="Calibri"/>
        <family val="2"/>
        <charset val="1"/>
      </rPr>
      <t xml:space="preserve">$4,300/$4,314.66</t>
    </r>
    <r>
      <rPr>
        <sz val="11"/>
        <color rgb="FF000000"/>
        <rFont val="Noto Sans CJK SC"/>
        <family val="2"/>
      </rPr>
      <t xml:space="preserve">反压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隔夜横盘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鹰派延续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点阵图</t>
    </r>
    <r>
      <rPr>
        <sz val="11"/>
        <color rgb="FF000000"/>
        <rFont val="Calibri"/>
        <family val="2"/>
        <charset val="1"/>
      </rPr>
      <t xml:space="preserve">16/18</t>
    </r>
    <r>
      <rPr>
        <sz val="11"/>
        <color rgb="FF000000"/>
        <rFont val="Noto Sans CJK SC"/>
        <family val="2"/>
      </rPr>
      <t xml:space="preserve">年内再加息</t>
    </r>
    <r>
      <rPr>
        <sz val="11"/>
        <color rgb="FF000000"/>
        <rFont val="Calibri"/>
        <family val="2"/>
        <charset val="1"/>
      </rPr>
      <t xml:space="preserve">+PPI/CPI</t>
    </r>
    <r>
      <rPr>
        <sz val="11"/>
        <color rgb="FF000000"/>
        <rFont val="Noto Sans CJK SC"/>
        <family val="2"/>
      </rPr>
      <t xml:space="preserve">热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美元一个月高位</t>
    </r>
    <r>
      <rPr>
        <sz val="11"/>
        <color rgb="FF000000"/>
        <rFont val="Calibri"/>
        <family val="2"/>
        <charset val="1"/>
      </rPr>
      <t xml:space="preserve">·10Y~4.96%[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]+VIX</t>
    </r>
    <r>
      <rPr>
        <sz val="11"/>
        <color rgb="FF000000"/>
        <rFont val="Noto Sans CJK SC"/>
        <family val="2"/>
      </rPr>
      <t xml:space="preserve">四连降</t>
    </r>
    <r>
      <rPr>
        <sz val="11"/>
        <color rgb="FF000000"/>
        <rFont val="Calibri"/>
        <family val="2"/>
        <charset val="1"/>
      </rPr>
      <t xml:space="preserve">14.21</t>
    </r>
    <r>
      <rPr>
        <sz val="11"/>
        <color rgb="FF000000"/>
        <rFont val="Noto Sans CJK SC"/>
        <family val="2"/>
      </rPr>
      <t xml:space="preserve">避险溢价归零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技术指标全线偏空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Noto Sans CJK SC"/>
        <family val="2"/>
      </rPr>
      <t xml:space="preserve">日均线</t>
    </r>
    <r>
      <rPr>
        <sz val="11"/>
        <color rgb="FF000000"/>
        <rFont val="Calibri"/>
        <family val="2"/>
        <charset val="1"/>
      </rPr>
      <t xml:space="preserve">~$4,369</t>
    </r>
    <r>
      <rPr>
        <sz val="11"/>
        <color rgb="FF000000"/>
        <rFont val="Noto Sans CJK SC"/>
        <family val="2"/>
      </rPr>
      <t xml:space="preserve">封盖</t>
    </r>
    <r>
      <rPr>
        <sz val="11"/>
        <color rgb="FF000000"/>
        <rFont val="Calibri"/>
        <family val="2"/>
        <charset val="1"/>
      </rPr>
      <t xml:space="preserve">+MACD</t>
    </r>
    <r>
      <rPr>
        <sz val="11"/>
        <color rgb="FF000000"/>
        <rFont val="Noto Sans CJK SC"/>
        <family val="2"/>
      </rPr>
      <t xml:space="preserve">负</t>
    </r>
    <r>
      <rPr>
        <sz val="11"/>
        <color rgb="FF000000"/>
        <rFont val="Calibri"/>
        <family val="2"/>
        <charset val="1"/>
      </rPr>
      <t xml:space="preserve">+RSI 36.5-44.6)[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今晚耐用品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密歇根若偏热点火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$4,265-4,267</t>
    </r>
    <r>
      <rPr>
        <sz val="11"/>
        <color rgb="FF000000"/>
        <rFont val="Noto Sans CJK SC"/>
        <family val="2"/>
      </rPr>
      <t xml:space="preserve">三重底第四次防守</t>
    </r>
    <r>
      <rPr>
        <sz val="11"/>
        <color rgb="FF000000"/>
        <rFont val="Calibri"/>
        <family val="2"/>
        <charset val="1"/>
      </rPr>
      <t xml:space="preserve">(9/14/9/18/9/24</t>
    </r>
    <r>
      <rPr>
        <sz val="11"/>
        <color rgb="FF000000"/>
        <rFont val="Noto Sans CJK SC"/>
        <family val="2"/>
      </rPr>
      <t xml:space="preserve">三守成功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央行承接</t>
    </r>
    <r>
      <rPr>
        <sz val="11"/>
        <color rgb="FF000000"/>
        <rFont val="Calibri"/>
        <family val="2"/>
        <charset val="1"/>
      </rPr>
      <t xml:space="preserve">(PBOC 22</t>
    </r>
    <r>
      <rPr>
        <sz val="11"/>
        <color rgb="FF000000"/>
        <rFont val="Noto Sans CJK SC"/>
        <family val="2"/>
      </rPr>
      <t xml:space="preserve">连月</t>
    </r>
    <r>
      <rPr>
        <sz val="11"/>
        <color rgb="FF000000"/>
        <rFont val="Calibri"/>
        <family val="2"/>
        <charset val="1"/>
      </rPr>
      <t xml:space="preserve">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</t>
    </r>
    <r>
      <rPr>
        <sz val="11"/>
        <color rgb="FF000000"/>
        <rFont val="Noto Sans CJK SC"/>
        <family val="2"/>
      </rPr>
      <t xml:space="preserve">创纪录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波兰</t>
    </r>
    <r>
      <rPr>
        <sz val="11"/>
        <color rgb="FF000000"/>
        <rFont val="Calibri"/>
        <family val="2"/>
        <charset val="1"/>
      </rPr>
      <t xml:space="preserve">Q2+51t,</t>
    </r>
    <r>
      <rPr>
        <sz val="11"/>
        <color rgb="FF000000"/>
        <rFont val="Noto Sans CJK SC"/>
        <family val="2"/>
      </rPr>
      <t xml:space="preserve">逢低买入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]+CCI-262</t>
    </r>
    <r>
      <rPr>
        <sz val="11"/>
        <color rgb="FF000000"/>
        <rFont val="Noto Sans CJK SC"/>
        <family val="2"/>
      </rPr>
      <t xml:space="preserve">超卖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动能衰减</t>
    </r>
    <r>
      <rPr>
        <sz val="11"/>
        <color rgb="FF000000"/>
        <rFont val="Calibri"/>
        <family val="2"/>
        <charset val="1"/>
      </rPr>
      <t xml:space="preserve">(-1.72%→-0.39%→</t>
    </r>
    <r>
      <rPr>
        <sz val="11"/>
        <color rgb="FF000000"/>
        <rFont val="Noto Sans CJK SC"/>
        <family val="2"/>
      </rPr>
      <t xml:space="preserve">隔夜平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投机持仓</t>
    </r>
    <r>
      <rPr>
        <sz val="11"/>
        <color rgb="FF000000"/>
        <rFont val="Calibri"/>
        <family val="2"/>
        <charset val="1"/>
      </rPr>
      <t xml:space="preserve">2019</t>
    </r>
    <r>
      <rPr>
        <sz val="11"/>
        <color rgb="FF000000"/>
        <rFont val="Noto Sans CJK SC"/>
        <family val="2"/>
      </rPr>
      <t xml:space="preserve">年中低位抛压衰竭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周五空头回补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]→</t>
    </r>
    <r>
      <rPr>
        <sz val="11"/>
        <color rgb="FF000000"/>
        <rFont val="Noto Sans CJK SC"/>
        <family val="2"/>
      </rPr>
      <t xml:space="preserve">押顺势压缩后向下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破</t>
    </r>
    <r>
      <rPr>
        <sz val="11"/>
        <color rgb="FF000000"/>
        <rFont val="Calibri"/>
        <family val="2"/>
        <charset val="1"/>
      </rPr>
      <t xml:space="preserve">$4,265</t>
    </r>
    <r>
      <rPr>
        <sz val="11"/>
        <color rgb="FF000000"/>
        <rFont val="Noto Sans CJK SC"/>
        <family val="2"/>
      </rPr>
      <t xml:space="preserve">止损延伸至</t>
    </r>
    <r>
      <rPr>
        <sz val="11"/>
        <color rgb="FF000000"/>
        <rFont val="Calibri"/>
        <family val="2"/>
        <charset val="1"/>
      </rPr>
      <t xml:space="preserve">$4,240-4,262(</t>
    </r>
    <r>
      <rPr>
        <sz val="11"/>
        <color rgb="FF000000"/>
        <rFont val="Noto Sans CJK SC"/>
        <family val="2"/>
      </rPr>
      <t xml:space="preserve">中档</t>
    </r>
    <r>
      <rPr>
        <sz val="11"/>
        <color rgb="FF000000"/>
        <rFont val="Calibri"/>
        <family val="2"/>
        <charset val="1"/>
      </rPr>
      <t xml:space="preserve">),</t>
    </r>
    <r>
      <rPr>
        <sz val="11"/>
        <color rgb="FF000000"/>
        <rFont val="Noto Sans CJK SC"/>
        <family val="2"/>
      </rPr>
      <t xml:space="preserve">三重底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央行承接封深跌不押大</t>
    </r>
    <r>
      <rPr>
        <sz val="11"/>
        <color rgb="FF000000"/>
        <rFont val="Calibri"/>
        <family val="2"/>
        <charset val="1"/>
      </rPr>
      <t xml:space="preserve">,$4,314.66</t>
    </r>
    <r>
      <rPr>
        <sz val="11"/>
        <color rgb="FF000000"/>
        <rFont val="Noto Sans CJK SC"/>
        <family val="2"/>
      </rPr>
      <t xml:space="preserve">为翻多确认线</t>
    </r>
  </si>
  <si>
    <t xml:space="preserve">周五06:31晨间定时执行成功(克隆仓库版);昨日9/24√√(押跌/中vs实际-0.39%跌/中,三重底三守成功)后方向档位维持顺势非追结果——独立依据=趋势标签-7.17%深位未变+破位反压$4,314.66未收复+鹰派组合延续;动能衰减+现价距三重底仅-0.15%封深跌故押中不押大(冻结前规则:动能衰减强信号优先中/小档);校准24/20达标良好+2.5pp(Brier0.2454),冻结期已满,三条待改项仍待用户定夺;本沙盒无recalc.py,已用soffice重算log.xlsx公式</t>
  </si>
  <si>
    <t xml:space="preserve">2026-09-28</t>
  </si>
  <si>
    <t xml:space="preserve">2026-09-28 06:35</t>
  </si>
  <si>
    <t xml:space="preserve">趋势跌(20日-6.74%连续第5日深位)·60日+2.33%长期涨动能钝化vs10日LBMA-2.85%短期续弱背离·FOMC鹰派落地后第8交易日·周一跳空低开-0.43%贴三重底$4,265-4,267(第五测)·PCE周三窗外今窗无重大事件</t>
  </si>
  <si>
    <t xml:space="preserve">周一跳空低开-0.43%贴三重底$4,265-4,267(第五测)[未释放]+20日趋势跌-6.74%第5日深位(LBMA定盘三连降至$4,261.05破名义区)[已定价]+破位结构未修复(距$4,300/-0.76%·$4,314.66反压/-1.1%)[部分定价]+鹰派延续(点阵图16/18年内再加息+美元一个月高位·10Y~4.96%)[已定价]+VIX14.87避险溢价归零[部分定价] vs 三重底前四守成功+周五美盘$4,254→$4,286买盘验证[未释放]+PBOC 22连月(8月+20.2t创纪录,波兰Q2+51t)逢低承接[未释放]+CFTC/ETF持仓2019年中低位抛压衰竭[未释放]+动能衰减(近3窗-1.72%→-0.39%→+0.30%)[未释放]→押顺势阴跌:破$4,265止损延伸$4,238-4,255(中档),央行承接+超卖封深跌不押大,PCE周三前波动收敛</t>
  </si>
  <si>
    <t xml:space="preserve">周一06:31晨间定时执行成功(克隆仓库版);周末后跳空低开贴三重底,方向押跌+档位押中:趋势标签-6.74%深位+破位未修复+鹰派组合延续,非追结果式——独立依据=周一跳空低开-0.43%回吐周五美盘全部反弹+LBMA定盘三连降至$4,261.05破三重底名义区(新变化);动能衰减(近3窗-1.72%→-0.39%→+0.30%)+PCE周三前收敛→押中不押大(冻结前规则:动能衰减优先中/小档);校准25/20达标良好+0.2pp(Brier0.2477),冻结期已满,三条待改项仍待用户定夺,本判断沿用冻结前规则;本沙盒无recalc.py,已用soffice重算log.xlsx公式</t>
  </si>
  <si>
    <t xml:space="preserve">2026-09-29</t>
  </si>
  <si>
    <t xml:space="preserve">2026-09-29 06:38</t>
  </si>
  <si>
    <t xml:space="preserve">趋势跌（20日-6.74%·LBMA口径未含昨-3.31%·现货约-9.9%本轮最深）·长期涨钝化vs短期深跌背离·昨破位大阴后首日</t>
  </si>
  <si>
    <t xml:space="preserve">破位惯性+美元强+Fed年内再加息预期压顶 vs 昨-3.31%超卖+地缘避险+央行购金承接；主路径惯性阴跌中档</t>
  </si>
  <si>
    <t xml:space="preserve">2026-09-30</t>
  </si>
  <si>
    <t xml:space="preserve">2026-09-30 06:35</t>
  </si>
  <si>
    <t xml:space="preserve">趋势跌(20日-9.17%本轮最深·LBMA定盘五连降)·60日+0.1%长期横盘钝化vs10日-2.87%短期续弱·昨超卖大反弹+1.41%后首日·PCE今晚20:30窗内</t>
  </si>
  <si>
    <t xml:space="preserve">锯齿交替第11窗(9/8起10窗严格交替,昨+1.41%→今回吐)[未释放]+趋势跌-9.17%深位[已定价]+鹰派组合(10月加息概率70%+美元一个月高位+10Y~4.96%)[已定价]+反弹供给压力$4,193-4,222为9/28破位区下沿套牢盘密集[部分定价]+PCE偏热概率高(PPI/CPI双热前瞻)[未释放] vs 央行购金22连月(PBOC 8月+20.2t创纪录)与$4,125/4,100双支撑承接[未释放]+超卖修复动能(美盘3连强势买盘)[部分定价]+投机持仓2019年中低位抛压衰竭/轧空空间[未释放]+地缘避险(美伊+关税通胀)[未释放]→押惯性回吐:PCE事件日亚欧盘收敛+双支撑封深跌故押中不押大,收$4,139-4,168;PCE偏冷续反弹($4,193-4,222)约25%,偏热重挫(&lt;$4,139)约15%</t>
  </si>
  <si>
    <t xml:space="preserve">周三06:35晨间定时执行成功(克隆仓库版);9/29结算××(押跌/中vs实际+1.41%涨/大,场景树C兑现且超上沿)后方向续押跌:非追结果式——独立依据=交替规律(10窗样本)+趋势标签-9.17%未变+鹰派组合延续+PCE偏热概率,昨反弹驱动(预期降温)属未兑现即抢跑需今晚数据验证;档位维持中:PCE事件日收敛+20日-9.17%超卖封深跌+双支撑(-1.33%/-1.93%)近在;校准27/20达标良好-0.2pp(Brier0.2481),三条待改项仍待用户定夺,本判断沿用冻结前规则;本沙盒无recalc.py,已用soffice重算log.xlsx公式</t>
  </si>
  <si>
    <t xml:space="preserve">2026-10-01</t>
  </si>
  <si>
    <t xml:space="preserve">2026-10-01 06:40</t>
  </si>
  <si>
    <t xml:space="preserve">趋势跌(20日-5.14%)·60日+2.24%长期钝化vs10日-3.95%短期续弱·PCE偏冷后修复第2日·初请+ISM今晚窗内/非农明晚窗外·中国国庆休市整周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</si>
  <si>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偏冷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核心环比</t>
    </r>
    <r>
      <rPr>
        <sz val="11"/>
        <color rgb="FF000000"/>
        <rFont val="Calibri"/>
        <family val="2"/>
        <charset val="1"/>
      </rPr>
      <t xml:space="preserve">+0.2%&lt;</t>
    </r>
    <r>
      <rPr>
        <sz val="11"/>
        <color rgb="FF000000"/>
        <rFont val="Noto Sans CJK SC"/>
        <family val="2"/>
      </rPr>
      <t xml:space="preserve">预期</t>
    </r>
    <r>
      <rPr>
        <sz val="11"/>
        <color rgb="FF000000"/>
        <rFont val="Calibri"/>
        <family val="2"/>
        <charset val="1"/>
      </rPr>
      <t xml:space="preserve">)+Williams</t>
    </r>
    <r>
      <rPr>
        <sz val="11"/>
        <color rgb="FF000000"/>
        <rFont val="Noto Sans CJK SC"/>
        <family val="2"/>
      </rPr>
      <t xml:space="preserve">仅再加息一次→</t>
    </r>
    <r>
      <rPr>
        <sz val="11"/>
        <color rgb="FF000000"/>
        <rFont val="Calibri"/>
        <family val="2"/>
        <charset val="1"/>
      </rPr>
      <t xml:space="preserve">10</t>
    </r>
    <r>
      <rPr>
        <sz val="11"/>
        <color rgb="FF000000"/>
        <rFont val="Noto Sans CJK SC"/>
        <family val="2"/>
      </rPr>
      <t xml:space="preserve">月加息概率</t>
    </r>
    <r>
      <rPr>
        <sz val="11"/>
        <color rgb="FF000000"/>
        <rFont val="Calibri"/>
        <family val="2"/>
        <charset val="1"/>
      </rPr>
      <t xml:space="preserve">47%[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双底</t>
    </r>
    <r>
      <rPr>
        <sz val="11"/>
        <color rgb="FF000000"/>
        <rFont val="Calibri"/>
        <family val="2"/>
        <charset val="1"/>
      </rPr>
      <t xml:space="preserve">$4,122-4,125</t>
    </r>
    <r>
      <rPr>
        <sz val="11"/>
        <color rgb="FF000000"/>
        <rFont val="Noto Sans CJK SC"/>
        <family val="2"/>
      </rPr>
      <t xml:space="preserve">两次承接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22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近</t>
    </r>
    <r>
      <rPr>
        <sz val="11"/>
        <color rgb="FF000000"/>
        <rFont val="Calibri"/>
        <family val="2"/>
        <charset val="1"/>
      </rPr>
      <t xml:space="preserve">5</t>
    </r>
    <r>
      <rPr>
        <sz val="11"/>
        <color rgb="FF000000"/>
        <rFont val="Noto Sans CJK SC"/>
        <family val="2"/>
      </rPr>
      <t xml:space="preserve">窗严格交替今日轮涨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]vs12</t>
    </r>
    <r>
      <rPr>
        <sz val="11"/>
        <color rgb="FF000000"/>
        <rFont val="Noto Sans CJK SC"/>
        <family val="2"/>
      </rPr>
      <t xml:space="preserve">月加息</t>
    </r>
    <r>
      <rPr>
        <sz val="11"/>
        <color rgb="FF000000"/>
        <rFont val="Calibri"/>
        <family val="2"/>
        <charset val="1"/>
      </rPr>
      <t xml:space="preserve">91%+</t>
    </r>
    <r>
      <rPr>
        <sz val="11"/>
        <color rgb="FF000000"/>
        <rFont val="Noto Sans CJK SC"/>
        <family val="2"/>
      </rPr>
      <t xml:space="preserve">收益率顽固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昨日利好不涨美盘</t>
    </r>
    <r>
      <rPr>
        <sz val="11"/>
        <color rgb="FF000000"/>
        <rFont val="Calibri"/>
        <family val="2"/>
        <charset val="1"/>
      </rPr>
      <t xml:space="preserve">-0.8%[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中国国庆休市整周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];</t>
    </r>
    <r>
      <rPr>
        <sz val="11"/>
        <color rgb="FF000000"/>
        <rFont val="Noto Sans CJK SC"/>
        <family val="2"/>
      </rPr>
      <t xml:space="preserve">主路径超卖修复</t>
    </r>
    <r>
      <rPr>
        <sz val="11"/>
        <color rgb="FF000000"/>
        <rFont val="Calibri"/>
        <family val="2"/>
        <charset val="1"/>
      </rPr>
      <t xml:space="preserve">+0.1%~0.3%</t>
    </r>
  </si>
  <si>
    <t xml:space="preserve">周四06:40晨间定时执行(克隆仓库版);9/30结算√√(押跌/中vs实际-0.56%跌/中,午后+0.43%偏离后美盘PCE偏冷不涨反跌回笼,场景A兑现);方向转押涨非追结果(9/30押跌√后逆向)——依据=PCE偏冷钝化+双底+交替5窗;LBMA今起403不可达,基线9/29-9/30以次晨结算价续接(已注source_note);本沙盒无recalc.py,公式用LibreOffice重算;校准28/20良好+1.4pp,Brier0.2464;周六06:30补结算(10/2周五晨间任务未执行→本行漏结算):结算点10-02 06:00已无实时源,gold-api当前$4,141.80疑似冻结于10-02盘中低点区(与Investing/TE/WSJ/AP外部源全矛盾弃用),改用外部双源窗口收盘均值Investing 4,182.07+twelvedata 4,189.2→$4,185.6(两源日切≈北京06:00与预测窗口吻合,其Sep30收盘4,157.34/4,156.5与本系统10-01晨基准价$4,157.30互相验证);实际+0.68%涨/中,方向√档位×(押小档被非农反弹超上限,场景树B带)</t>
  </si>
  <si>
    <t xml:space="preserve">2026-10-05</t>
  </si>
  <si>
    <t xml:space="preserve">2026-10-05 06:32</t>
  </si>
  <si>
    <t xml:space="preserve">趋势跌(20日-6.30%·9/29起结算价续接口径)·60日+1.34%长期钝化vs10日-4.18%短期续弱·周五非农后-0.99%大跌企稳日·SGE国庆休市至10/7·本周无重大数据</t>
  </si>
  <si>
    <t xml:space="preserve">周五冲高$4,227遭抛回落-0.99%(非农后收益率走高)[已定价]+10月加息70%/12月88%鹰派组合+20日-6.30%趋势跌深位[已定价] vs $4,114-4,125双底带近在(-0.43%~-0.70%)[未释放]+近11窗涨跌严格交替周五跌今日轮涨[未释放]+PBoC 22连月购金(8月+20.2t创2023/10以来最大)+ETF 8月流入$18bn[未释放]+VIX回落15.31恐慌消退[部分定价]→押超卖修复:主路径收$4,155-4,172(+0.3%~+0.7%中档下沿),亚盘破$4,130防线则转跌</t>
  </si>
  <si>
    <t xml:space="preserve">周一06:32晨间定时执行成功(克隆仓库版);10/2周五晨间任务未执行→10/1行已于10/3周六补结算(涨√档×,外部双源均值$4,185.6),今晨settle无待结算行(10/3-10/4周末无行);方向续押涨非追结果(10/1押涨√后连押)——独立依据=周五-0.99%超卖宣泄落地+平开企稳+双底带上方止跌+11窗交替;档位改押中:涨窗样本全为中档(+0.88/+0.68)且10/1押小被+0.68%击穿(连续两次押小失手);LBMA仍403,基线9/29-10/1结算价续接,10/2漏采缺口已注source_note;本沙盒无recalc.py(按规则跳过),公式用LibreOffice重算;校准29/20达标良好+2.9pp(Brier0.2449),三条待改项仍待用户定夺,本判断沿用冻结前规则</t>
  </si>
  <si>
    <t xml:space="preserve">2026-10-06</t>
  </si>
  <si>
    <t xml:space="preserve">2026-10-06 06:35</t>
  </si>
  <si>
    <t xml:space="preserve">趋势跌(20日-6.14%·结算价续接口径)·60日+1.1%长期钝化vs10日-4.69%短期续弱·昨+0.03%弱修复后动能收敛·SGE国庆休市最后一天(10/7复市)·隔夜美数据偏强·本周数据真空</t>
  </si>
  <si>
    <t xml:space="preserve">隔夜美经济数据偏强强化higher-for-longer+FXS Fed情绪指数136.59鹰派区[已定价]+20日-6.14%趋势跌深位·日线100日均线下方技术偏空[已定价]+昨场景A预期+0.3%~0.7%仅兑现+0.03%该涨涨不动·反弹动能衰竭[未释放]+12窗交替轮跌窗(9/8起严格交替)[未释放]+SGE休市最后一天亚盘缺实物买盘[未释放] vs $4,114-4,125双底带四守成功(9/14/9/18/9/24/10-1)[未释放]+PBoC 22连月(8月+20.2t)+ETF 8月$18bn结构性托底[未释放]+VIX 15.31低位无流动性冲击[部分定价]+地缘避险残余(美伊/关税/也门)[部分定价]→押顺势回落测底:主路径-0.3%~-0.7%收$4,115-4,132(中档),双底承接封深跌不押大</t>
  </si>
  <si>
    <t xml:space="preserve">周二06:35晨间定时执行(克隆仓库版);10/5结算√×(押涨/中vs实际+0.03%涨/小,午后+0.28%一度在轨美盘回吐归零)后方向转押跌:非追结果式(昨方向√)——独立依据=①弱修复证伪反弹叙事(预期+0.3~0.7%仅兑现+0.03%)②12窗交替轮跌③隔夜美数据偏强+鹰派情绪升温④顺势结构未变;档位押中:整理期跌窗样本均为中档(-0.56/-0.99)+回落测双底带目标恰落中档区间;LBMA仍403,基线9/29起结算价续接(10-02漏采注source_note);本沙盒无recalc.py(按规则跳过),公式用LibreOffice重算;校准30/20达标良好+4.3pp(Brier0.2435),三条待改项仍待用户定夺,本判断沿用冻结前规则</t>
  </si>
  <si>
    <t xml:space="preserve">2026-10-07</t>
  </si>
  <si>
    <t xml:space="preserve">2026-10-07 06:35</t>
  </si>
  <si>
    <t xml:space="preserve">趋势跌(20日-5.35%·结算价续接口径)·60日+3.15%长期温和多vs10日-3.63%短期修复中·昨+0.55%二连涨修复·SGE国庆后复市首日·本周数据真空</t>
  </si>
  <si>
    <r>
      <rPr>
        <sz val="11"/>
        <color rgb="FF000000"/>
        <rFont val="Calibri"/>
        <family val="2"/>
        <charset val="1"/>
      </rPr>
      <t xml:space="preserve">SGE</t>
    </r>
    <r>
      <rPr>
        <sz val="11"/>
        <color rgb="FF000000"/>
        <rFont val="Noto Sans CJK SC"/>
        <family val="2"/>
      </rPr>
      <t xml:space="preserve">复市首日实物买盘回归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月加息预期降温</t>
    </r>
    <r>
      <rPr>
        <sz val="11"/>
        <color rgb="FF000000"/>
        <rFont val="Calibri"/>
        <family val="2"/>
        <charset val="1"/>
      </rPr>
      <t xml:space="preserve">(reduced rate hike expectations)[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二连涨修复动能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美盘主动买盘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亚盘贴地美盘拉升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双底带</t>
    </r>
    <r>
      <rPr>
        <sz val="11"/>
        <color rgb="FF000000"/>
        <rFont val="Calibri"/>
        <family val="2"/>
        <charset val="1"/>
      </rPr>
      <t xml:space="preserve">$4,114-4,125</t>
    </r>
    <r>
      <rPr>
        <sz val="11"/>
        <color rgb="FF000000"/>
        <rFont val="Noto Sans CJK SC"/>
        <family val="2"/>
      </rPr>
      <t xml:space="preserve">五守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]+PBoC 22</t>
    </r>
    <r>
      <rPr>
        <sz val="11"/>
        <color rgb="FF000000"/>
        <rFont val="Noto Sans CJK SC"/>
        <family val="2"/>
      </rPr>
      <t xml:space="preserve">连月</t>
    </r>
    <r>
      <rPr>
        <sz val="11"/>
        <color rgb="FF000000"/>
        <rFont val="Calibri"/>
        <family val="2"/>
        <charset val="1"/>
      </rPr>
      <t xml:space="preserve">(8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+20.2t)+ETF 8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$18bn[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 vs 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-5.35%</t>
    </r>
    <r>
      <rPr>
        <sz val="11"/>
        <color rgb="FF000000"/>
        <rFont val="Noto Sans CJK SC"/>
        <family val="2"/>
      </rPr>
      <t xml:space="preserve">趋势跌深位未反转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美元逼近</t>
    </r>
    <r>
      <rPr>
        <sz val="11"/>
        <color rgb="FF000000"/>
        <rFont val="Calibri"/>
        <family val="2"/>
        <charset val="1"/>
      </rPr>
      <t xml:space="preserve">100</t>
    </r>
    <r>
      <rPr>
        <sz val="11"/>
        <color rgb="FF000000"/>
        <rFont val="Noto Sans CJK SC"/>
        <family val="2"/>
      </rPr>
      <t xml:space="preserve">关口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收益率高企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已定价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上方</t>
    </r>
    <r>
      <rPr>
        <sz val="11"/>
        <color rgb="FF000000"/>
        <rFont val="Calibri"/>
        <family val="2"/>
        <charset val="1"/>
      </rPr>
      <t xml:space="preserve">$4,186/4,227</t>
    </r>
    <r>
      <rPr>
        <sz val="11"/>
        <color rgb="FF000000"/>
        <rFont val="Noto Sans CJK SC"/>
        <family val="2"/>
      </rPr>
      <t xml:space="preserve">阻力密集获利了结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避险溢价消退</t>
    </r>
    <r>
      <rPr>
        <sz val="11"/>
        <color rgb="FF000000"/>
        <rFont val="Calibri"/>
        <family val="2"/>
        <charset val="1"/>
      </rPr>
      <t xml:space="preserve">(Kitco:</t>
    </r>
    <r>
      <rPr>
        <sz val="11"/>
        <color rgb="FF000000"/>
        <rFont val="Noto Sans CJK SC"/>
        <family val="2"/>
      </rPr>
      <t xml:space="preserve">难持续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]→</t>
    </r>
    <r>
      <rPr>
        <sz val="11"/>
        <color rgb="FF000000"/>
        <rFont val="Noto Sans CJK SC"/>
        <family val="2"/>
      </rPr>
      <t xml:space="preserve">押复市修复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主路径</t>
    </r>
    <r>
      <rPr>
        <sz val="11"/>
        <color rgb="FF000000"/>
        <rFont val="Calibri"/>
        <family val="2"/>
        <charset val="1"/>
      </rPr>
      <t xml:space="preserve">+0.3%~+0.7%</t>
    </r>
    <r>
      <rPr>
        <sz val="11"/>
        <color rgb="FF000000"/>
        <rFont val="Noto Sans CJK SC"/>
        <family val="2"/>
      </rPr>
      <t xml:space="preserve">收</t>
    </r>
    <r>
      <rPr>
        <sz val="11"/>
        <color rgb="FF000000"/>
        <rFont val="Calibri"/>
        <family val="2"/>
        <charset val="1"/>
      </rPr>
      <t xml:space="preserve">$4,178-4,195(</t>
    </r>
    <r>
      <rPr>
        <sz val="11"/>
        <color rgb="FF000000"/>
        <rFont val="Noto Sans CJK SC"/>
        <family val="2"/>
      </rPr>
      <t xml:space="preserve">中档</t>
    </r>
    <r>
      <rPr>
        <sz val="11"/>
        <color rgb="FF000000"/>
        <rFont val="Calibri"/>
        <family val="2"/>
        <charset val="1"/>
      </rPr>
      <t xml:space="preserve">),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$4,153</t>
    </r>
    <r>
      <rPr>
        <sz val="11"/>
        <color rgb="FF000000"/>
        <rFont val="Noto Sans CJK SC"/>
        <family val="2"/>
      </rPr>
      <t xml:space="preserve">转回落</t>
    </r>
  </si>
  <si>
    <t xml:space="preserve">周三06:35晨间定时执行(克隆仓库版);10/6结算×√(押跌/中vs实际+0.55%涨/中,亚盘贴地横盘美盘空头回补+SGE复市抢跑,场景C兑现)后方向转押涨:非追结果——独立依据=①SGE今日复市实物买盘落地②10月加息预期降温③二连涨+美盘主动买盘④昨报场景C已预警;档位押中:整理期涨窗样本全为中档(+0.88/+0.68/+0.55)+主路径目标$4,178-4,195恰落中档;LBMA仍403,基线9/29起结算价续接(今晨续接10/6收盘,10-02漏采注source_note);本沙盒无recalc.py(按规则跳过),公式用LibreOffice重算;校准31/20达标良好+2.4pp(Brier0.2454),三条待改项仍待用户定夺,本判断沿用冻结前规则</t>
  </si>
  <si>
    <t xml:space="preserve">2026-10-08</t>
  </si>
  <si>
    <t xml:space="preserve">2026-10-08 06:35</t>
  </si>
  <si>
    <t xml:space="preserve">趋势跌(20日-6.64%·结算价续接口径)·60日+0.77%长期钝化vs10日-3.74%短期走低·昨-1.42%破4144双底带·锯齿交替跌腿增强·数据真空周·10月加息预期回摆</t>
  </si>
  <si>
    <t xml:space="preserve">破位续跌:4144双底带失守[部分定价]+higher-for-longer回摆(油价反弹+强工业数据推升通胀预期)[未释放]+美元近月高位[已定价]+锯齿结构走弱(回调递增-0.57→-0.99→-1.45·反弹递减+0.88→+0.68→+0.55)[已定价]+SGE复市买盘证伪[已定价]；对冲:RSI41超卖修复+收益率自数十年高位回落[未释放]+央行购金(WGC+PBoC连买22月)[未释放]+关税/伊朗避险[未释放]</t>
  </si>
  <si>
    <t xml:space="preserve">周四06:35晨间定时执行(克隆仓库版);10/7结算××(押涨/中vs实际-1.42%跌/大,跌破4144双底带,晨报场景C兑现超预期);本窗押跌:破位+下降阶梯+加息预期回摆,独立依据链非追结果式修正;周六06:30补结算(10/9周五晨间任务未执行→本行漏结算):结算点10-09 06:00已无实时源,取外部双源纽约尾盘均值新浪4,132.62+Kitco4,132.50→$4,132.6(两源时刻≈北京10-09 04:30-05:09,COMEX收盘后低流动性时段与结算点偏差极小;Kitco次日10-09 04:21ET报4,199.80 up$67.30反推10-08收盘4,132.50互证;10-09亚欧盘续涨至~4,200与本系统周六实时4,195.6衔接吻合);本沙盒无recalc.py,公式用LibreOffice重算</t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</si>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</sst>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.00%"/>
    <numFmt numFmtId="167" formatCode="yyyy\-mm\-dd"/>
    <numFmt numFmtId="168" formatCode="General"/>
    <numFmt numFmtId="169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0" t="s">
        <v>44</v>
      </c>
      <c r="E17" s="10" t="s">
        <v>33</v>
      </c>
      <c r="F17" s="10" t="s">
        <v>44</v>
      </c>
      <c r="G17" s="10" t="s">
        <v>33</v>
      </c>
      <c r="H17" s="10" t="s">
        <v>22</v>
      </c>
      <c r="I17" s="9" t="n">
        <v>4296.7</v>
      </c>
      <c r="J17" s="11" t="n">
        <f aca="false">IF(OR(I17="",C17=""),"",(I17-C17)/C17)</f>
        <v>-0.00933782163607858</v>
      </c>
      <c r="K17" s="8" t="str">
        <f aca="false">IF(J17="","",IF(J17&gt;0,"涨",IF(J17&lt;0,"跌","平")))</f>
        <v>跌</v>
      </c>
      <c r="L17" s="8" t="str">
        <f aca="false">IF(J17="","",IF(ABS(J17)&lt;=0.003,"小",IF(ABS(J17)&lt;=0.01,"中","大")))</f>
        <v>中</v>
      </c>
      <c r="M17" s="8" t="str">
        <f aca="false">IF(OR(D17="",K17=""),"",IF(D17=K17,"√","×"))</f>
        <v>√</v>
      </c>
      <c r="N17" s="8" t="str">
        <f aca="false">IF(OR(E17="",L17=""),"",IF(E17=L17,"√","×"))</f>
        <v>√</v>
      </c>
      <c r="O17" s="10" t="s">
        <v>98</v>
      </c>
      <c r="P17" s="8" t="s">
        <v>99</v>
      </c>
      <c r="Q17" s="10" t="s">
        <v>100</v>
      </c>
      <c r="R17" s="1" t="n">
        <v>55</v>
      </c>
    </row>
    <row r="18" customFormat="false" ht="15" hidden="false" customHeight="true" outlineLevel="0" collapsed="false">
      <c r="A18" s="4" t="s">
        <v>101</v>
      </c>
      <c r="B18" s="4" t="s">
        <v>102</v>
      </c>
      <c r="C18" s="5" t="n">
        <v>4296.7</v>
      </c>
      <c r="D18" s="6" t="s">
        <v>20</v>
      </c>
      <c r="E18" s="6" t="s">
        <v>33</v>
      </c>
      <c r="F18" s="6" t="s">
        <v>20</v>
      </c>
      <c r="G18" s="6" t="s">
        <v>33</v>
      </c>
      <c r="H18" s="6" t="s">
        <v>22</v>
      </c>
      <c r="I18" s="5" t="n">
        <v>4299.8</v>
      </c>
      <c r="J18" s="7" t="n">
        <f aca="false">IF(OR(I18="",C18=""),"",(I18-C18)/C18)</f>
        <v>0.000721483929527396</v>
      </c>
      <c r="K18" s="4" t="str">
        <f aca="false">IF(J18="","",IF(J18&gt;0,"涨",IF(J18&lt;0,"跌","平")))</f>
        <v>涨</v>
      </c>
      <c r="L18" s="4" t="str">
        <f aca="false">IF(J18="","",IF(ABS(J18)&lt;=0.003,"小",IF(ABS(J18)&lt;=0.01,"中","大")))</f>
        <v>小</v>
      </c>
      <c r="M18" s="4" t="str">
        <f aca="false">IF(OR(D18="",K18=""),"",IF(D18=K18,"√","×"))</f>
        <v>√</v>
      </c>
      <c r="N18" s="4" t="str">
        <f aca="false">IF(OR(E18="",L18=""),"",IF(E18=L18,"√","×"))</f>
        <v>×</v>
      </c>
      <c r="O18" s="6" t="s">
        <v>103</v>
      </c>
      <c r="P18" s="6" t="s">
        <v>104</v>
      </c>
      <c r="Q18" s="6" t="s">
        <v>105</v>
      </c>
      <c r="R18" s="1" t="n">
        <v>55</v>
      </c>
    </row>
    <row r="19" customFormat="false" ht="15" hidden="false" customHeight="true" outlineLevel="0" collapsed="false">
      <c r="A19" s="4" t="s">
        <v>106</v>
      </c>
      <c r="B19" s="4" t="s">
        <v>107</v>
      </c>
      <c r="C19" s="5" t="n">
        <v>4298.7</v>
      </c>
      <c r="D19" s="6" t="s">
        <v>44</v>
      </c>
      <c r="E19" s="6" t="s">
        <v>33</v>
      </c>
      <c r="F19" s="6" t="s">
        <v>44</v>
      </c>
      <c r="G19" s="6" t="s">
        <v>33</v>
      </c>
      <c r="H19" s="6" t="s">
        <v>22</v>
      </c>
      <c r="I19" s="5" t="n">
        <v>4267.7</v>
      </c>
      <c r="J19" s="7" t="n">
        <f aca="false">IF(OR(I19="",C19=""),"",(I19-C19)/C19)</f>
        <v>-0.0072114825412334</v>
      </c>
      <c r="K19" s="4" t="str">
        <f aca="false">IF(J19="","",IF(J19&gt;0,"涨",IF(J19&lt;0,"跌","平")))</f>
        <v>跌</v>
      </c>
      <c r="L19" s="4" t="str">
        <f aca="false">IF(J19="","",IF(ABS(J19)&lt;=0.003,"小",IF(ABS(J19)&lt;=0.01,"中","大")))</f>
        <v>中</v>
      </c>
      <c r="M19" s="4" t="str">
        <f aca="false">IF(OR(D19="",K19=""),"",IF(D19=K19,"√","×"))</f>
        <v>√</v>
      </c>
      <c r="N19" s="4" t="str">
        <f aca="false">IF(OR(E19="",L19=""),"",IF(E19=L19,"√","×"))</f>
        <v>√</v>
      </c>
      <c r="O19" s="6" t="s">
        <v>108</v>
      </c>
      <c r="P19" s="6" t="s">
        <v>109</v>
      </c>
      <c r="Q19" s="6" t="s">
        <v>110</v>
      </c>
      <c r="R19" s="1" t="n">
        <v>55</v>
      </c>
    </row>
    <row r="20" customFormat="false" ht="15" hidden="false" customHeight="true" outlineLevel="0" collapsed="false">
      <c r="A20" s="4" t="s">
        <v>111</v>
      </c>
      <c r="B20" s="4" t="s">
        <v>112</v>
      </c>
      <c r="C20" s="5" t="n">
        <v>4270.9</v>
      </c>
      <c r="D20" s="6" t="s">
        <v>44</v>
      </c>
      <c r="E20" s="6" t="s">
        <v>33</v>
      </c>
      <c r="F20" s="6" t="s">
        <v>44</v>
      </c>
      <c r="G20" s="6" t="s">
        <v>33</v>
      </c>
      <c r="H20" s="6" t="s">
        <v>22</v>
      </c>
      <c r="I20" s="5" t="n">
        <v>4346.9</v>
      </c>
      <c r="J20" s="7" t="n">
        <f aca="false">IF(OR(I20="",C20=""),"",(I20-C20)/C20)</f>
        <v>0.0177948441780421</v>
      </c>
      <c r="K20" s="4" t="str">
        <f aca="false">IF(J20="","",IF(J20&gt;0,"涨",IF(J20&lt;0,"跌","平")))</f>
        <v>涨</v>
      </c>
      <c r="L20" s="4" t="str">
        <f aca="false">IF(J20="","",IF(ABS(J20)&lt;=0.003,"小",IF(ABS(J20)&lt;=0.01,"中","大")))</f>
        <v>大</v>
      </c>
      <c r="M20" s="4" t="str">
        <f aca="false">IF(OR(D20="",K20=""),"",IF(D20=K20,"√","×"))</f>
        <v>×</v>
      </c>
      <c r="N20" s="4" t="str">
        <f aca="false">IF(OR(E20="",L20=""),"",IF(E20=L20,"√","×"))</f>
        <v>×</v>
      </c>
      <c r="O20" s="6" t="s">
        <v>113</v>
      </c>
      <c r="P20" s="6" t="s">
        <v>114</v>
      </c>
      <c r="Q20" s="6" t="s">
        <v>115</v>
      </c>
      <c r="R20" s="1" t="n">
        <v>55</v>
      </c>
    </row>
    <row r="21" customFormat="false" ht="15" hidden="false" customHeight="true" outlineLevel="0" collapsed="false">
      <c r="A21" s="8" t="s">
        <v>116</v>
      </c>
      <c r="B21" s="8" t="s">
        <v>117</v>
      </c>
      <c r="C21" s="9" t="n">
        <v>4347.8</v>
      </c>
      <c r="D21" s="10" t="s">
        <v>20</v>
      </c>
      <c r="E21" s="10" t="s">
        <v>33</v>
      </c>
      <c r="F21" s="10" t="s">
        <v>20</v>
      </c>
      <c r="G21" s="10" t="s">
        <v>33</v>
      </c>
      <c r="H21" s="10" t="s">
        <v>22</v>
      </c>
      <c r="I21" s="9" t="n">
        <v>4379</v>
      </c>
      <c r="J21" s="11" t="n">
        <f aca="false">IF(OR(I21="",C21=""),"",(I21-C21)/C21)</f>
        <v>0.0071760430562583</v>
      </c>
      <c r="K21" s="8" t="str">
        <f aca="false">IF(J21="","",IF(J21&gt;0,"涨",IF(J21&lt;0,"跌","平")))</f>
        <v>涨</v>
      </c>
      <c r="L21" s="8" t="str">
        <f aca="false">IF(J21="","",IF(ABS(J21)&lt;=0.003,"小",IF(ABS(J21)&lt;=0.01,"中","大")))</f>
        <v>中</v>
      </c>
      <c r="M21" s="8" t="str">
        <f aca="false">IF(OR(D21="",K21=""),"",IF(D21=K21,"√","×"))</f>
        <v>√</v>
      </c>
      <c r="N21" s="8" t="str">
        <f aca="false">IF(OR(E21="",L21=""),"",IF(E21=L21,"√","×"))</f>
        <v>√</v>
      </c>
      <c r="O21" s="10" t="s">
        <v>118</v>
      </c>
      <c r="P21" s="8" t="s">
        <v>119</v>
      </c>
      <c r="Q21" s="10" t="s">
        <v>120</v>
      </c>
      <c r="R21" s="1" t="n">
        <v>55</v>
      </c>
    </row>
    <row r="22" customFormat="false" ht="15" hidden="false" customHeight="true" outlineLevel="0" collapsed="false">
      <c r="A22" s="4" t="s">
        <v>121</v>
      </c>
      <c r="B22" s="4" t="s">
        <v>122</v>
      </c>
      <c r="C22" s="5" t="n">
        <v>4377.5</v>
      </c>
      <c r="D22" s="6" t="s">
        <v>44</v>
      </c>
      <c r="E22" s="6" t="s">
        <v>33</v>
      </c>
      <c r="F22" s="6" t="s">
        <v>44</v>
      </c>
      <c r="G22" s="6" t="s">
        <v>33</v>
      </c>
      <c r="H22" s="6" t="s">
        <v>22</v>
      </c>
      <c r="I22" s="5" t="n">
        <v>4353.9</v>
      </c>
      <c r="J22" s="7" t="n">
        <f aca="false">IF(OR(I22="",C22=""),"",(I22-C22)/C22)</f>
        <v>-0.00539120502569968</v>
      </c>
      <c r="K22" s="4" t="str">
        <f aca="false">IF(J22="","",IF(J22&gt;0,"涨",IF(J22&lt;0,"跌","平")))</f>
        <v>跌</v>
      </c>
      <c r="L22" s="4" t="str">
        <f aca="false">IF(J22="","",IF(ABS(J22)&lt;=0.003,"小",IF(ABS(J22)&lt;=0.01,"中","大")))</f>
        <v>中</v>
      </c>
      <c r="M22" s="4" t="str">
        <f aca="false">IF(OR(D22="",K22=""),"",IF(D22=K22,"√","×"))</f>
        <v>√</v>
      </c>
      <c r="N22" s="4" t="str">
        <f aca="false">IF(OR(E22="",L22=""),"",IF(E22=L22,"√","×"))</f>
        <v>√</v>
      </c>
      <c r="O22" s="6" t="s">
        <v>123</v>
      </c>
      <c r="P22" s="6" t="s">
        <v>124</v>
      </c>
      <c r="Q22" s="6" t="s">
        <v>125</v>
      </c>
      <c r="R22" s="1" t="n">
        <v>55</v>
      </c>
    </row>
    <row r="23" customFormat="false" ht="15" hidden="false" customHeight="true" outlineLevel="0" collapsed="false">
      <c r="A23" s="8" t="s">
        <v>126</v>
      </c>
      <c r="B23" s="8" t="s">
        <v>127</v>
      </c>
      <c r="C23" s="9" t="n">
        <v>4353.9</v>
      </c>
      <c r="D23" s="10" t="s">
        <v>44</v>
      </c>
      <c r="E23" s="10" t="s">
        <v>33</v>
      </c>
      <c r="F23" s="10" t="s">
        <v>44</v>
      </c>
      <c r="G23" s="10" t="s">
        <v>33</v>
      </c>
      <c r="H23" s="10" t="s">
        <v>22</v>
      </c>
      <c r="I23" s="9" t="n">
        <v>4364.7</v>
      </c>
      <c r="J23" s="11" t="n">
        <f aca="false">IF(OR(I23="",C23=""),"",(I23-C23)/C23)</f>
        <v>0.00248053469303387</v>
      </c>
      <c r="K23" s="8" t="str">
        <f aca="false">IF(J23="","",IF(J23&gt;0,"涨",IF(J23&lt;0,"跌","平")))</f>
        <v>涨</v>
      </c>
      <c r="L23" s="8" t="str">
        <f aca="false">IF(J23="","",IF(ABS(J23)&lt;=0.003,"小",IF(ABS(J23)&lt;=0.01,"中","大")))</f>
        <v>小</v>
      </c>
      <c r="M23" s="8" t="str">
        <f aca="false">IF(OR(D23="",K23=""),"",IF(D23=K23,"√","×"))</f>
        <v>×</v>
      </c>
      <c r="N23" s="8" t="str">
        <f aca="false">IF(OR(E23="",L23=""),"",IF(E23=L23,"√","×"))</f>
        <v>×</v>
      </c>
      <c r="O23" s="10" t="s">
        <v>128</v>
      </c>
      <c r="P23" s="10" t="s">
        <v>129</v>
      </c>
      <c r="Q23" s="10" t="s">
        <v>130</v>
      </c>
      <c r="R23" s="1" t="n">
        <v>55</v>
      </c>
    </row>
    <row r="24" customFormat="false" ht="15" hidden="false" customHeight="true" outlineLevel="0" collapsed="false">
      <c r="A24" s="4" t="s">
        <v>131</v>
      </c>
      <c r="B24" s="4" t="s">
        <v>132</v>
      </c>
      <c r="C24" s="5" t="n">
        <v>4364.7</v>
      </c>
      <c r="D24" s="6" t="s">
        <v>20</v>
      </c>
      <c r="E24" s="6" t="s">
        <v>38</v>
      </c>
      <c r="F24" s="6" t="s">
        <v>20</v>
      </c>
      <c r="G24" s="6" t="s">
        <v>38</v>
      </c>
      <c r="H24" s="6" t="s">
        <v>22</v>
      </c>
      <c r="I24" s="5" t="n">
        <v>4289.6</v>
      </c>
      <c r="J24" s="7" t="n">
        <f aca="false">IF(OR(I24="",C24=""),"",(I24-C24)/C24)</f>
        <v>-0.0172062226498956</v>
      </c>
      <c r="K24" s="4" t="str">
        <f aca="false">IF(J24="","",IF(J24&gt;0,"涨",IF(J24&lt;0,"跌","平")))</f>
        <v>跌</v>
      </c>
      <c r="L24" s="4" t="str">
        <f aca="false">IF(J24="","",IF(ABS(J24)&lt;=0.003,"小",IF(ABS(J24)&lt;=0.01,"中","大")))</f>
        <v>大</v>
      </c>
      <c r="M24" s="4" t="str">
        <f aca="false">IF(OR(D24="",K24=""),"",IF(D24=K24,"√","×"))</f>
        <v>×</v>
      </c>
      <c r="N24" s="4" t="str">
        <f aca="false">IF(OR(E24="",L24=""),"",IF(E24=L24,"√","×"))</f>
        <v>×</v>
      </c>
      <c r="O24" s="6" t="s">
        <v>133</v>
      </c>
      <c r="P24" s="6" t="s">
        <v>134</v>
      </c>
      <c r="Q24" s="6" t="s">
        <v>135</v>
      </c>
      <c r="R24" s="1" t="n">
        <v>55</v>
      </c>
    </row>
    <row r="25" customFormat="false" ht="15" hidden="false" customHeight="true" outlineLevel="0" collapsed="false">
      <c r="A25" s="8" t="s">
        <v>136</v>
      </c>
      <c r="B25" s="8" t="s">
        <v>137</v>
      </c>
      <c r="C25" s="9" t="n">
        <v>4289.1</v>
      </c>
      <c r="D25" s="10" t="s">
        <v>44</v>
      </c>
      <c r="E25" s="10" t="s">
        <v>33</v>
      </c>
      <c r="F25" s="10" t="s">
        <v>44</v>
      </c>
      <c r="G25" s="10" t="s">
        <v>33</v>
      </c>
      <c r="H25" s="10" t="s">
        <v>22</v>
      </c>
      <c r="I25" s="9" t="n">
        <v>4272.2</v>
      </c>
      <c r="J25" s="11" t="n">
        <f aca="false">IF(OR(I25="",C25=""),"",(I25-C25)/C25)</f>
        <v>-0.00394022055909178</v>
      </c>
      <c r="K25" s="8" t="str">
        <f aca="false">IF(J25="","",IF(J25&gt;0,"涨",IF(J25&lt;0,"跌","平")))</f>
        <v>跌</v>
      </c>
      <c r="L25" s="8" t="str">
        <f aca="false">IF(J25="","",IF(ABS(J25)&lt;=0.003,"小",IF(ABS(J25)&lt;=0.01,"中","大")))</f>
        <v>中</v>
      </c>
      <c r="M25" s="8" t="str">
        <f aca="false">IF(OR(D25="",K25=""),"",IF(D25=K25,"√","×"))</f>
        <v>√</v>
      </c>
      <c r="N25" s="8" t="str">
        <f aca="false">IF(OR(E25="",L25=""),"",IF(E25=L25,"√","×"))</f>
        <v>√</v>
      </c>
      <c r="O25" s="10" t="s">
        <v>138</v>
      </c>
      <c r="P25" s="10" t="s">
        <v>139</v>
      </c>
      <c r="Q25" s="10" t="s">
        <v>140</v>
      </c>
      <c r="R25" s="1" t="n">
        <v>55</v>
      </c>
    </row>
    <row r="26" customFormat="false" ht="15" hidden="false" customHeight="true" outlineLevel="0" collapsed="false">
      <c r="A26" s="4" t="s">
        <v>141</v>
      </c>
      <c r="B26" s="4" t="s">
        <v>142</v>
      </c>
      <c r="C26" s="5" t="n">
        <v>4273.2</v>
      </c>
      <c r="D26" s="6" t="s">
        <v>44</v>
      </c>
      <c r="E26" s="6" t="s">
        <v>33</v>
      </c>
      <c r="F26" s="6" t="s">
        <v>44</v>
      </c>
      <c r="G26" s="6" t="s">
        <v>33</v>
      </c>
      <c r="H26" s="6" t="s">
        <v>22</v>
      </c>
      <c r="I26" s="5" t="n">
        <v>4286.2</v>
      </c>
      <c r="J26" s="7" t="n">
        <f aca="false">IF(OR(I26="",C26=""),"",(I26-C26)/C26)</f>
        <v>0.00304221660582233</v>
      </c>
      <c r="K26" s="4" t="str">
        <f aca="false">IF(J26="","",IF(J26&gt;0,"涨",IF(J26&lt;0,"跌","平")))</f>
        <v>涨</v>
      </c>
      <c r="L26" s="4" t="str">
        <f aca="false">IF(J26="","",IF(ABS(J26)&lt;=0.003,"小",IF(ABS(J26)&lt;=0.01,"中","大")))</f>
        <v>中</v>
      </c>
      <c r="M26" s="4" t="str">
        <f aca="false">IF(OR(D26="",K26=""),"",IF(D26=K26,"√","×"))</f>
        <v>×</v>
      </c>
      <c r="N26" s="4" t="str">
        <f aca="false">IF(OR(E26="",L26=""),"",IF(E26=L26,"√","×"))</f>
        <v>√</v>
      </c>
      <c r="O26" s="6" t="s">
        <v>143</v>
      </c>
      <c r="P26" s="4" t="s">
        <v>144</v>
      </c>
      <c r="Q26" s="6" t="s">
        <v>145</v>
      </c>
      <c r="R26" s="1" t="n">
        <v>55</v>
      </c>
    </row>
    <row r="27" customFormat="false" ht="15" hidden="false" customHeight="true" outlineLevel="0" collapsed="false">
      <c r="A27" s="8" t="s">
        <v>146</v>
      </c>
      <c r="B27" s="8" t="s">
        <v>147</v>
      </c>
      <c r="C27" s="9" t="n">
        <v>4267.8</v>
      </c>
      <c r="D27" s="10" t="s">
        <v>44</v>
      </c>
      <c r="E27" s="10" t="s">
        <v>33</v>
      </c>
      <c r="F27" s="10" t="s">
        <v>44</v>
      </c>
      <c r="G27" s="10" t="s">
        <v>33</v>
      </c>
      <c r="H27" s="10" t="s">
        <v>22</v>
      </c>
      <c r="I27" s="9" t="n">
        <v>4126.5</v>
      </c>
      <c r="J27" s="11" t="n">
        <f aca="false">IF(OR(I27="",C27=""),"",(I27-C27)/C27)</f>
        <v>-0.0331083930830873</v>
      </c>
      <c r="K27" s="8" t="str">
        <f aca="false">IF(J27="","",IF(J27&gt;0,"涨",IF(J27&lt;0,"跌","平")))</f>
        <v>跌</v>
      </c>
      <c r="L27" s="8" t="str">
        <f aca="false">IF(J27="","",IF(ABS(J27)&lt;=0.003,"小",IF(ABS(J27)&lt;=0.01,"中","大")))</f>
        <v>大</v>
      </c>
      <c r="M27" s="8" t="str">
        <f aca="false">IF(OR(D27="",K27=""),"",IF(D27=K27,"√","×"))</f>
        <v>√</v>
      </c>
      <c r="N27" s="8" t="str">
        <f aca="false">IF(OR(E27="",L27=""),"",IF(E27=L27,"√","×"))</f>
        <v>×</v>
      </c>
      <c r="O27" s="10" t="s">
        <v>148</v>
      </c>
      <c r="P27" s="10" t="s">
        <v>149</v>
      </c>
      <c r="Q27" s="10" t="s">
        <v>150</v>
      </c>
      <c r="R27" s="1" t="n">
        <v>55</v>
      </c>
    </row>
    <row r="28" customFormat="false" ht="15" hidden="false" customHeight="true" outlineLevel="0" collapsed="false">
      <c r="A28" s="16" t="s">
        <v>151</v>
      </c>
      <c r="B28" s="4" t="s">
        <v>152</v>
      </c>
      <c r="C28" s="5" t="n">
        <v>4122.8</v>
      </c>
      <c r="D28" s="6" t="s">
        <v>44</v>
      </c>
      <c r="E28" s="6" t="s">
        <v>33</v>
      </c>
      <c r="F28" s="6" t="s">
        <v>44</v>
      </c>
      <c r="G28" s="6" t="s">
        <v>33</v>
      </c>
      <c r="H28" s="6" t="s">
        <v>22</v>
      </c>
      <c r="I28" s="5" t="n">
        <v>4181</v>
      </c>
      <c r="J28" s="7" t="n">
        <f aca="false">IF(OR(I28="",C28=""),"",(I28-C28)/C28)</f>
        <v>0.0141166197729698</v>
      </c>
      <c r="K28" s="4" t="str">
        <f aca="false">IF(J28="","",IF(J28&gt;0,"涨",IF(J28&lt;0,"跌","平")))</f>
        <v>涨</v>
      </c>
      <c r="L28" s="4" t="str">
        <f aca="false">IF(J28="","",IF(ABS(J28)&lt;=0.003,"小",IF(ABS(J28)&lt;=0.01,"中","大")))</f>
        <v>大</v>
      </c>
      <c r="M28" s="4" t="str">
        <f aca="false">IF(OR(D28="",K28=""),"",IF(D28=K28,"√","×"))</f>
        <v>×</v>
      </c>
      <c r="N28" s="4" t="str">
        <f aca="false">IF(OR(E28="",L28=""),"",IF(E28=L28,"√","×"))</f>
        <v>×</v>
      </c>
      <c r="O28" s="6" t="s">
        <v>153</v>
      </c>
      <c r="P28" s="6" t="s">
        <v>154</v>
      </c>
      <c r="Q28" s="4"/>
      <c r="R28" s="1" t="n">
        <v>55</v>
      </c>
    </row>
    <row r="29" customFormat="false" ht="15" hidden="false" customHeight="true" outlineLevel="0" collapsed="false">
      <c r="A29" s="8" t="s">
        <v>155</v>
      </c>
      <c r="B29" s="8" t="s">
        <v>156</v>
      </c>
      <c r="C29" s="9" t="n">
        <v>4180.5</v>
      </c>
      <c r="D29" s="10" t="s">
        <v>44</v>
      </c>
      <c r="E29" s="10" t="s">
        <v>33</v>
      </c>
      <c r="F29" s="10" t="s">
        <v>44</v>
      </c>
      <c r="G29" s="10" t="s">
        <v>33</v>
      </c>
      <c r="H29" s="10" t="s">
        <v>22</v>
      </c>
      <c r="I29" s="9" t="n">
        <v>4157.2</v>
      </c>
      <c r="J29" s="11" t="n">
        <f aca="false">IF(OR(I29="",C29=""),"",(I29-C29)/C29)</f>
        <v>-0.00557349599330228</v>
      </c>
      <c r="K29" s="8" t="str">
        <f aca="false">IF(J29="","",IF(J29&gt;0,"涨",IF(J29&lt;0,"跌","平")))</f>
        <v>跌</v>
      </c>
      <c r="L29" s="8" t="str">
        <f aca="false">IF(J29="","",IF(ABS(J29)&lt;=0.003,"小",IF(ABS(J29)&lt;=0.01,"中","大")))</f>
        <v>中</v>
      </c>
      <c r="M29" s="8" t="str">
        <f aca="false">IF(OR(D29="",K29=""),"",IF(D29=K29,"√","×"))</f>
        <v>√</v>
      </c>
      <c r="N29" s="8" t="str">
        <f aca="false">IF(OR(E29="",L29=""),"",IF(E29=L29,"√","×"))</f>
        <v>√</v>
      </c>
      <c r="O29" s="10" t="s">
        <v>157</v>
      </c>
      <c r="P29" s="10" t="s">
        <v>158</v>
      </c>
      <c r="Q29" s="10" t="s">
        <v>159</v>
      </c>
      <c r="R29" s="1" t="n">
        <v>55</v>
      </c>
    </row>
    <row r="30" customFormat="false" ht="15" hidden="false" customHeight="true" outlineLevel="0" collapsed="false">
      <c r="A30" s="4" t="s">
        <v>160</v>
      </c>
      <c r="B30" s="4" t="s">
        <v>161</v>
      </c>
      <c r="C30" s="5" t="n">
        <v>4157.3</v>
      </c>
      <c r="D30" s="6" t="s">
        <v>20</v>
      </c>
      <c r="E30" s="6" t="s">
        <v>38</v>
      </c>
      <c r="F30" s="6" t="s">
        <v>20</v>
      </c>
      <c r="G30" s="6" t="s">
        <v>38</v>
      </c>
      <c r="H30" s="6" t="s">
        <v>22</v>
      </c>
      <c r="I30" s="5" t="n">
        <v>4185.6</v>
      </c>
      <c r="J30" s="7" t="n">
        <f aca="false">IF(OR(I30="",C30=""),"",(I30-C30)/C30)</f>
        <v>0.00680730281673206</v>
      </c>
      <c r="K30" s="4" t="str">
        <f aca="false">IF(J30="","",IF(J30&gt;0,"涨",IF(J30&lt;0,"跌","平")))</f>
        <v>涨</v>
      </c>
      <c r="L30" s="4" t="str">
        <f aca="false">IF(J30="","",IF(ABS(J30)&lt;=0.003,"小",IF(ABS(J30)&lt;=0.01,"中","大")))</f>
        <v>中</v>
      </c>
      <c r="M30" s="4" t="str">
        <f aca="false">IF(OR(D30="",K30=""),"",IF(D30=K30,"√","×"))</f>
        <v>√</v>
      </c>
      <c r="N30" s="4" t="str">
        <f aca="false">IF(OR(E30="",L30=""),"",IF(E30=L30,"√","×"))</f>
        <v>×</v>
      </c>
      <c r="O30" s="6" t="s">
        <v>162</v>
      </c>
      <c r="P30" s="4" t="s">
        <v>163</v>
      </c>
      <c r="Q30" s="6" t="s">
        <v>164</v>
      </c>
      <c r="R30" s="1" t="n">
        <v>55</v>
      </c>
    </row>
    <row r="31" customFormat="false" ht="15" hidden="false" customHeight="true" outlineLevel="0" collapsed="false">
      <c r="A31" s="8" t="s">
        <v>165</v>
      </c>
      <c r="B31" s="8" t="s">
        <v>166</v>
      </c>
      <c r="C31" s="9" t="n">
        <v>4142.8</v>
      </c>
      <c r="D31" s="10" t="s">
        <v>20</v>
      </c>
      <c r="E31" s="10" t="s">
        <v>33</v>
      </c>
      <c r="F31" s="10" t="s">
        <v>20</v>
      </c>
      <c r="G31" s="10" t="s">
        <v>33</v>
      </c>
      <c r="H31" s="10" t="s">
        <v>22</v>
      </c>
      <c r="I31" s="9" t="n">
        <v>4144.2</v>
      </c>
      <c r="J31" s="11" t="n">
        <f aca="false">IF(OR(I31="",C31=""),"",(I31-C31)/C31)</f>
        <v>0.00033793569566468</v>
      </c>
      <c r="K31" s="8" t="str">
        <f aca="false">IF(J31="","",IF(J31&gt;0,"涨",IF(J31&lt;0,"跌","平")))</f>
        <v>涨</v>
      </c>
      <c r="L31" s="8" t="str">
        <f aca="false">IF(J31="","",IF(ABS(J31)&lt;=0.003,"小",IF(ABS(J31)&lt;=0.01,"中","大")))</f>
        <v>小</v>
      </c>
      <c r="M31" s="8" t="str">
        <f aca="false">IF(OR(D31="",K31=""),"",IF(D31=K31,"√","×"))</f>
        <v>√</v>
      </c>
      <c r="N31" s="8" t="str">
        <f aca="false">IF(OR(E31="",L31=""),"",IF(E31=L31,"√","×"))</f>
        <v>×</v>
      </c>
      <c r="O31" s="10" t="s">
        <v>167</v>
      </c>
      <c r="P31" s="10" t="s">
        <v>168</v>
      </c>
      <c r="Q31" s="10" t="s">
        <v>169</v>
      </c>
      <c r="R31" s="1" t="n">
        <v>55</v>
      </c>
    </row>
    <row r="32" customFormat="false" ht="15" hidden="false" customHeight="true" outlineLevel="0" collapsed="false">
      <c r="A32" s="4" t="s">
        <v>170</v>
      </c>
      <c r="B32" s="4" t="s">
        <v>171</v>
      </c>
      <c r="C32" s="5" t="n">
        <v>4144.4</v>
      </c>
      <c r="D32" s="6" t="s">
        <v>44</v>
      </c>
      <c r="E32" s="6" t="s">
        <v>33</v>
      </c>
      <c r="F32" s="6" t="s">
        <v>44</v>
      </c>
      <c r="G32" s="6" t="s">
        <v>33</v>
      </c>
      <c r="H32" s="6" t="s">
        <v>22</v>
      </c>
      <c r="I32" s="5" t="n">
        <v>4167.2</v>
      </c>
      <c r="J32" s="7" t="n">
        <f aca="false">IF(OR(I32="",C32=""),"",(I32-C32)/C32)</f>
        <v>0.00550139947881483</v>
      </c>
      <c r="K32" s="4" t="str">
        <f aca="false">IF(J32="","",IF(J32&gt;0,"涨",IF(J32&lt;0,"跌","平")))</f>
        <v>涨</v>
      </c>
      <c r="L32" s="4" t="str">
        <f aca="false">IF(J32="","",IF(ABS(J32)&lt;=0.003,"小",IF(ABS(J32)&lt;=0.01,"中","大")))</f>
        <v>中</v>
      </c>
      <c r="M32" s="4" t="str">
        <f aca="false">IF(OR(D32="",K32=""),"",IF(D32=K32,"√","×"))</f>
        <v>×</v>
      </c>
      <c r="N32" s="4" t="str">
        <f aca="false">IF(OR(E32="",L32=""),"",IF(E32=L32,"√","×"))</f>
        <v>√</v>
      </c>
      <c r="O32" s="6" t="s">
        <v>172</v>
      </c>
      <c r="P32" s="6" t="s">
        <v>173</v>
      </c>
      <c r="Q32" s="6" t="s">
        <v>174</v>
      </c>
      <c r="R32" s="1" t="n">
        <v>55</v>
      </c>
    </row>
    <row r="33" customFormat="false" ht="15" hidden="false" customHeight="true" outlineLevel="0" collapsed="false">
      <c r="A33" s="8" t="s">
        <v>175</v>
      </c>
      <c r="B33" s="8" t="s">
        <v>176</v>
      </c>
      <c r="C33" s="9" t="n">
        <v>4165.9</v>
      </c>
      <c r="D33" s="10" t="s">
        <v>20</v>
      </c>
      <c r="E33" s="10" t="s">
        <v>33</v>
      </c>
      <c r="F33" s="10" t="s">
        <v>20</v>
      </c>
      <c r="G33" s="10" t="s">
        <v>33</v>
      </c>
      <c r="H33" s="10" t="s">
        <v>22</v>
      </c>
      <c r="I33" s="9" t="n">
        <v>4106.8</v>
      </c>
      <c r="J33" s="11" t="n">
        <f aca="false">IF(OR(I33="",C33=""),"",(I33-C33)/C33)</f>
        <v>-0.0141866103363017</v>
      </c>
      <c r="K33" s="8" t="str">
        <f aca="false">IF(J33="","",IF(J33&gt;0,"涨",IF(J33&lt;0,"跌","平")))</f>
        <v>跌</v>
      </c>
      <c r="L33" s="8" t="str">
        <f aca="false">IF(J33="","",IF(ABS(J33)&lt;=0.003,"小",IF(ABS(J33)&lt;=0.01,"中","大")))</f>
        <v>大</v>
      </c>
      <c r="M33" s="8" t="str">
        <f aca="false">IF(OR(D33="",K33=""),"",IF(D33=K33,"√","×"))</f>
        <v>×</v>
      </c>
      <c r="N33" s="8" t="str">
        <f aca="false">IF(OR(E33="",L33=""),"",IF(E33=L33,"√","×"))</f>
        <v>×</v>
      </c>
      <c r="O33" s="10" t="s">
        <v>177</v>
      </c>
      <c r="P33" s="8" t="s">
        <v>178</v>
      </c>
      <c r="Q33" s="10" t="s">
        <v>179</v>
      </c>
      <c r="R33" s="1" t="n">
        <v>55</v>
      </c>
    </row>
    <row r="34" customFormat="false" ht="15" hidden="false" customHeight="true" outlineLevel="0" collapsed="false">
      <c r="A34" s="4" t="s">
        <v>180</v>
      </c>
      <c r="B34" s="4" t="s">
        <v>181</v>
      </c>
      <c r="C34" s="5" t="n">
        <v>4107.1</v>
      </c>
      <c r="D34" s="6" t="s">
        <v>44</v>
      </c>
      <c r="E34" s="6" t="s">
        <v>33</v>
      </c>
      <c r="F34" s="6" t="s">
        <v>44</v>
      </c>
      <c r="G34" s="6" t="s">
        <v>33</v>
      </c>
      <c r="H34" s="6" t="s">
        <v>22</v>
      </c>
      <c r="I34" s="5" t="n">
        <v>4132.6</v>
      </c>
      <c r="J34" s="7" t="n">
        <f aca="false">IF(OR(I34="",C34=""),"",(I34-C34)/C34)</f>
        <v>0.00620876043923937</v>
      </c>
      <c r="K34" s="4" t="str">
        <f aca="false">IF(J34="","",IF(J34&gt;0,"涨",IF(J34&lt;0,"跌","平")))</f>
        <v>涨</v>
      </c>
      <c r="L34" s="4" t="str">
        <f aca="false">IF(J34="","",IF(ABS(J34)&lt;=0.003,"小",IF(ABS(J34)&lt;=0.01,"中","大")))</f>
        <v>中</v>
      </c>
      <c r="M34" s="4" t="str">
        <f aca="false">IF(OR(D34="",K34=""),"",IF(D34=K34,"√","×"))</f>
        <v>×</v>
      </c>
      <c r="N34" s="4" t="str">
        <f aca="false">IF(OR(E34="",L34=""),"",IF(E34=L34,"√","×"))</f>
        <v>√</v>
      </c>
      <c r="O34" s="6" t="s">
        <v>182</v>
      </c>
      <c r="P34" s="6" t="s">
        <v>183</v>
      </c>
      <c r="Q34" s="6" t="s">
        <v>184</v>
      </c>
      <c r="R34" s="1" t="n">
        <v>55</v>
      </c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7" t="s">
        <v>185</v>
      </c>
    </row>
    <row r="3" customFormat="false" ht="15" hidden="false" customHeight="true" outlineLevel="0" collapsed="false">
      <c r="A3" s="18" t="s">
        <v>186</v>
      </c>
      <c r="B3" s="19" t="n">
        <f aca="false">COUNTIF(预测日志!M2:M1000,"√")+COUNTIF(预测日志!M2:M1000,"×")</f>
        <v>33</v>
      </c>
    </row>
    <row r="4" customFormat="false" ht="15" hidden="false" customHeight="true" outlineLevel="0" collapsed="false">
      <c r="A4" s="18" t="s">
        <v>187</v>
      </c>
      <c r="B4" s="19" t="n">
        <f aca="false">COUNTA(预测日志!A2:A1000)</f>
        <v>33</v>
      </c>
    </row>
    <row r="5" customFormat="false" ht="15" hidden="false" customHeight="true" outlineLevel="0" collapsed="false">
      <c r="A5" s="20" t="s">
        <v>188</v>
      </c>
      <c r="B5" s="21" t="n">
        <f aca="false">IFERROR(COUNTIF(预测日志!M2:M1000,"√")/B3,"-")</f>
        <v>0.545454545454545</v>
      </c>
    </row>
    <row r="6" customFormat="false" ht="15" hidden="false" customHeight="true" outlineLevel="0" collapsed="false">
      <c r="A6" s="18" t="s">
        <v>189</v>
      </c>
      <c r="B6" s="22" t="n">
        <f aca="false">IFERROR(COUNTIF(预测日志!N2:N1000,"√")/(COUNTIF(预测日志!N2:N1000,"√")+COUNTIF(预测日志!N2:N1000,"×")),"-")</f>
        <v>0.424242424242424</v>
      </c>
    </row>
    <row r="7" customFormat="false" ht="15" hidden="false" customHeight="true" outlineLevel="0" collapsed="false">
      <c r="A7" s="20" t="s">
        <v>190</v>
      </c>
      <c r="B7" s="21" t="n">
        <f aca="true">IFERROR(COUNTIF(OFFSET(预测日志!$M$1,B3-MIN(30,B3)+1,0,MIN(30,B3),1),"√")/MIN(30,B3),"-")</f>
        <v>0.5</v>
      </c>
    </row>
    <row r="8" customFormat="false" ht="15" hidden="false" customHeight="true" outlineLevel="0" collapsed="false">
      <c r="A8" s="18" t="s">
        <v>191</v>
      </c>
      <c r="B8" s="22" t="n">
        <f aca="true">IFERROR(COUNTIF(OFFSET(预测日志!$N$1,B3-MIN(30,B3)+1,0,MIN(30,B3),1),"√")/MIN(30,B3),"-")</f>
        <v>0.433333333333333</v>
      </c>
    </row>
    <row r="9" customFormat="false" ht="15" hidden="false" customHeight="true" outlineLevel="0" collapsed="false">
      <c r="A9" s="18" t="s">
        <v>192</v>
      </c>
      <c r="B9" s="19" t="n">
        <f aca="false">IFERROR(COUNTIFS(预测日志!O2:O1000,"趋势*",预测日志!M2:M1000,"√")/(COUNTIFS(预测日志!O2:O1000,"趋势*",预测日志!M2:M1000,"√")+COUNTIFS(预测日志!O2:O1000,"趋势*",预测日志!M2:M1000,"×")),"-")</f>
        <v>0.518518518518518</v>
      </c>
    </row>
    <row r="10" customFormat="false" ht="15" hidden="false" customHeight="true" outlineLevel="0" collapsed="false">
      <c r="A10" s="18" t="s">
        <v>193</v>
      </c>
      <c r="B10" s="19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3" t="s">
        <v>194</v>
      </c>
    </row>
    <row r="13" customFormat="false" ht="15" hidden="false" customHeight="true" outlineLevel="0" collapsed="false">
      <c r="A13" s="3" t="s">
        <v>195</v>
      </c>
      <c r="B13" s="1" t="n">
        <f aca="false">COUNT(预测日志!R2:R1000)</f>
        <v>33</v>
      </c>
    </row>
    <row r="14" customFormat="false" ht="15" hidden="false" customHeight="true" outlineLevel="0" collapsed="false">
      <c r="A14" s="3" t="s">
        <v>196</v>
      </c>
      <c r="B14" s="1" t="n">
        <f aca="false">COUNTIFS(预测日志!R2:R1000,"&gt;0",预测日志!M2:M1000,"√")+COUNTIFS(预测日志!R2:R1000,"&gt;0",预测日志!M2:M1000,"×")</f>
        <v>33</v>
      </c>
    </row>
    <row r="15" customFormat="false" ht="15" hidden="false" customHeight="true" outlineLevel="0" collapsed="false">
      <c r="A15" s="3" t="s">
        <v>197</v>
      </c>
      <c r="B15" s="1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4" t="s">
        <v>199</v>
      </c>
    </row>
    <row r="3" customFormat="false" ht="15" hidden="false" customHeight="true" outlineLevel="0" collapsed="false">
      <c r="A3" s="25" t="s">
        <v>200</v>
      </c>
      <c r="B3" s="26" t="s">
        <v>201</v>
      </c>
    </row>
    <row r="4" customFormat="false" ht="15" hidden="false" customHeight="true" outlineLevel="0" collapsed="false">
      <c r="A4" s="25" t="s">
        <v>202</v>
      </c>
      <c r="B4" s="26" t="s">
        <v>203</v>
      </c>
    </row>
    <row r="5" customFormat="false" ht="15" hidden="false" customHeight="true" outlineLevel="0" collapsed="false">
      <c r="A5" s="25" t="s">
        <v>204</v>
      </c>
      <c r="B5" s="26" t="s">
        <v>205</v>
      </c>
    </row>
    <row r="6" customFormat="false" ht="15" hidden="false" customHeight="true" outlineLevel="0" collapsed="false">
      <c r="A6" s="25" t="s">
        <v>206</v>
      </c>
      <c r="B6" s="26" t="s">
        <v>207</v>
      </c>
    </row>
    <row r="7" customFormat="false" ht="15" hidden="false" customHeight="true" outlineLevel="0" collapsed="false">
      <c r="A7" s="25" t="s">
        <v>208</v>
      </c>
      <c r="B7" s="26" t="s">
        <v>209</v>
      </c>
    </row>
    <row r="8" customFormat="false" ht="15" hidden="false" customHeight="true" outlineLevel="0" collapsed="false">
      <c r="A8" s="25" t="s">
        <v>7</v>
      </c>
      <c r="B8" s="26" t="s">
        <v>210</v>
      </c>
    </row>
    <row r="9" customFormat="false" ht="15" hidden="false" customHeight="true" outlineLevel="0" collapsed="false">
      <c r="A9" s="25" t="s">
        <v>14</v>
      </c>
      <c r="B9" s="26" t="s">
        <v>211</v>
      </c>
    </row>
    <row r="10" customFormat="false" ht="15" hidden="false" customHeight="true" outlineLevel="0" collapsed="false">
      <c r="A10" s="25" t="s">
        <v>212</v>
      </c>
      <c r="B10" s="27" t="s">
        <v>213</v>
      </c>
    </row>
    <row r="11" customFormat="false" ht="15" hidden="false" customHeight="true" outlineLevel="0" collapsed="false">
      <c r="A11" s="25" t="s">
        <v>214</v>
      </c>
      <c r="B11" s="26" t="s">
        <v>215</v>
      </c>
    </row>
    <row r="12" customFormat="false" ht="15" hidden="false" customHeight="true" outlineLevel="0" collapsed="false">
      <c r="A12" s="25" t="s">
        <v>216</v>
      </c>
      <c r="B12" s="27" t="s">
        <v>217</v>
      </c>
    </row>
    <row r="13" customFormat="false" ht="15" hidden="false" customHeight="true" outlineLevel="0" collapsed="false">
      <c r="A13" s="3" t="s">
        <v>17</v>
      </c>
      <c r="B13" s="3" t="s">
        <v>218</v>
      </c>
    </row>
    <row r="14" customFormat="false" ht="15" hidden="false" customHeight="true" outlineLevel="0" collapsed="false">
      <c r="A14" s="3" t="s">
        <v>219</v>
      </c>
      <c r="B14" s="3" t="s">
        <v>220</v>
      </c>
    </row>
    <row r="15" customFormat="false" ht="15" hidden="false" customHeight="true" outlineLevel="0" collapsed="false">
      <c r="A15" s="3" t="s">
        <v>221</v>
      </c>
      <c r="B15" s="1" t="s">
        <v>222</v>
      </c>
    </row>
    <row r="16" customFormat="false" ht="15" hidden="false" customHeight="true" outlineLevel="0" collapsed="false">
      <c r="A16" s="3" t="s">
        <v>223</v>
      </c>
      <c r="B16" s="3" t="s">
        <v>224</v>
      </c>
    </row>
    <row r="17" customFormat="false" ht="15" hidden="false" customHeight="true" outlineLevel="0" collapsed="false">
      <c r="A17" s="3" t="s">
        <v>225</v>
      </c>
      <c r="B17" s="3" t="s">
        <v>226</v>
      </c>
    </row>
    <row r="18" customFormat="false" ht="15" hidden="false" customHeight="true" outlineLevel="0" collapsed="false">
      <c r="A18" s="3" t="s">
        <v>227</v>
      </c>
      <c r="B18" s="3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2026-10-09T22:36:24Z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