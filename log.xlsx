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<sst xmlns="http://schemas.openxmlformats.org/spreadsheetml/2006/main" count="185" uniqueCount="126">
  <si>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</si>
  <si>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</si>
  <si>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</si>
  <si>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</si>
  <si>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</si>
  <si>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</si>
  <si>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</si>
  <si>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</si>
  <si>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</si>
  <si>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</si>
  <si>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</si>
  <si>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</si>
  <si>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</si>
  <si>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</si>
  <si>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</si>
  <si>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</si>
  <si>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</si>
  <si>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</si>
  <si>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</si>
  <si>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</si>
  <si>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</si>
  <si>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</si>
  <si>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</si>
  <si>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</si>
  <si>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</si>
  <si>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</si>
  <si>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</si>
  <si>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</si>
  <si>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</si>
  <si>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</si>
  <si>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</si>
  <si>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</si>
  <si>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</si>
  <si>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</si>
  <si>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</si>
  <si>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</si>
  <si>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</si>
  <si>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</si>
  <si>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</si>
  <si>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</si>
  <si>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</si>
  <si>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</si>
  <si>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</si>
  <si>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</si>
  <si>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</si>
  <si>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</si>
  <si>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</si>
  <si>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</si>
  <si>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</si>
  <si>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</si>
  <si>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</si>
  <si>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</si>
  <si>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</si>
  <si>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</si>
  <si>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</si>
  <si>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</si>
  <si>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</si>
  <si>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</si>
  <si>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</si>
  <si>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</si>
  <si>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</si>
  <si>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</si>
  <si>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</si>
  <si>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</si>
  <si>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</si>
  <si>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</si>
  <si>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</si>
  <si>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</si>
  <si>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</si>
  <si>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</si>
  <si>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</si>
  <si>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</si>
  <si>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</si>
  <si>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</si>
  <si>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</si>
  <si>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</si>
  <si>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</si>
  <si>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</si>
  <si>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</si>
  <si>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+3.46%</t>
    </r>
    <r>
      <rPr>
        <sz val="11"/>
        <color rgb="FF000000"/>
        <rFont val="Noto Sans CJK SC"/>
        <family val="2"/>
      </rPr>
      <t xml:space="preserve">未超买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伴宽幅整理</t>
    </r>
    <r>
      <rPr>
        <sz val="11"/>
        <color rgb="FF000000"/>
        <rFont val="Calibri"/>
        <family val="2"/>
        <charset val="1"/>
      </rPr>
      <t xml:space="preserve">(4410</t>
    </r>
    <r>
      <rPr>
        <sz val="11"/>
        <color rgb="FF000000"/>
        <rFont val="Noto Sans CJK SC"/>
        <family val="2"/>
      </rPr>
      <t xml:space="preserve">三测不破</t>
    </r>
    <r>
      <rPr>
        <sz val="11"/>
        <color rgb="FF000000"/>
        <rFont val="Calibri"/>
        <family val="2"/>
        <charset val="1"/>
      </rPr>
      <t xml:space="preserve">,V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4467</t>
    </r>
    <r>
      <rPr>
        <sz val="11"/>
        <color rgb="FF000000"/>
        <rFont val="Noto Sans CJK SC"/>
        <family val="2"/>
      </rPr>
      <t xml:space="preserve">受阻未收复</t>
    </r>
    <r>
      <rPr>
        <sz val="11"/>
        <color rgb="FF000000"/>
        <rFont val="Calibri"/>
        <family val="2"/>
        <charset val="1"/>
      </rPr>
      <t xml:space="preserve">200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4536)</t>
    </r>
  </si>
  <si>
    <r>
      <rPr>
        <sz val="11"/>
        <color rgb="FF000000"/>
        <rFont val="Noto Sans CJK SC"/>
        <family val="2"/>
      </rPr>
      <t xml:space="preserve">地缘避险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美袭委内瑞拉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美伊紧张</t>
    </r>
    <r>
      <rPr>
        <sz val="11"/>
        <color rgb="FF000000"/>
        <rFont val="Calibri"/>
        <family val="2"/>
        <charset val="1"/>
      </rPr>
      <t xml:space="preserve">)+4410</t>
    </r>
    <r>
      <rPr>
        <sz val="11"/>
        <color rgb="FF000000"/>
        <rFont val="Noto Sans CJK SC"/>
        <family val="2"/>
      </rPr>
      <t xml:space="preserve">三日不破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连月托底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但鹰派重定价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+200</t>
    </r>
    <r>
      <rPr>
        <sz val="11"/>
        <color rgb="FF000000"/>
        <rFont val="Noto Sans CJK SC"/>
        <family val="2"/>
      </rPr>
      <t xml:space="preserve">日线下技术压制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反弹试阻力</t>
    </r>
  </si>
  <si>
    <r>
      <rPr>
        <sz val="11"/>
        <color rgb="FF000000"/>
        <rFont val="Noto Sans CJK SC"/>
        <family val="2"/>
      </rPr>
      <t xml:space="preserve">周二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方向押涨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支撑三测不破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卖压衰竭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避险增量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美元高位压制反弹高度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更正</t>
    </r>
    <r>
      <rPr>
        <sz val="11"/>
        <color rgb="FF000000"/>
        <rFont val="Calibri"/>
        <family val="2"/>
        <charset val="1"/>
      </rPr>
      <t xml:space="preserve">:FOMC</t>
    </r>
    <r>
      <rPr>
        <sz val="11"/>
        <color rgb="FF000000"/>
        <rFont val="Noto Sans CJK SC"/>
        <family val="2"/>
      </rPr>
      <t xml:space="preserve">实为</t>
    </r>
    <r>
      <rPr>
        <sz val="11"/>
        <color rgb="FF000000"/>
        <rFont val="Calibri"/>
        <family val="2"/>
        <charset val="1"/>
      </rPr>
      <t xml:space="preserve">9/15-16</t>
    </r>
    <r>
      <rPr>
        <sz val="11"/>
        <color rgb="FF000000"/>
        <rFont val="Noto Sans CJK SC"/>
        <family val="2"/>
      </rPr>
      <t xml:space="preserve">本周三无决议</t>
    </r>
    <r>
      <rPr>
        <sz val="11"/>
        <color rgb="FF000000"/>
        <rFont val="Calibri"/>
        <family val="2"/>
        <charset val="1"/>
      </rPr>
      <t xml:space="preserve">,CPI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9/11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</si>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</sst>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6" t="s">
        <v>20</v>
      </c>
      <c r="E13" s="16" t="s">
        <v>33</v>
      </c>
      <c r="F13" s="16" t="s">
        <v>20</v>
      </c>
      <c r="G13" s="16" t="s">
        <v>33</v>
      </c>
      <c r="H13" s="16" t="s">
        <v>22</v>
      </c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16" t="s">
        <v>79</v>
      </c>
      <c r="P13" s="16" t="s">
        <v>80</v>
      </c>
      <c r="Q13" s="16" t="s">
        <v>81</v>
      </c>
      <c r="R13" s="0" t="n">
        <v>55</v>
      </c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82</v>
      </c>
    </row>
    <row r="3" customFormat="false" ht="15" hidden="false" customHeight="true" outlineLevel="0" collapsed="false">
      <c r="A3" s="18" t="s">
        <v>83</v>
      </c>
      <c r="B3" s="19" t="n">
        <f aca="false">COUNTIF(预测日志!M2:M1000,"√")+COUNTIF(预测日志!M2:M1000,"×")</f>
        <v>11</v>
      </c>
    </row>
    <row r="4" customFormat="false" ht="15" hidden="false" customHeight="true" outlineLevel="0" collapsed="false">
      <c r="A4" s="18" t="s">
        <v>84</v>
      </c>
      <c r="B4" s="19" t="n">
        <f aca="false">COUNTA(预测日志!A2:A1000)</f>
        <v>12</v>
      </c>
    </row>
    <row r="5" customFormat="false" ht="15" hidden="false" customHeight="true" outlineLevel="0" collapsed="false">
      <c r="A5" s="20" t="s">
        <v>85</v>
      </c>
      <c r="B5" s="21" t="n">
        <f aca="false">IFERROR(COUNTIF(预测日志!M2:M1000,"√")/B3,"-")</f>
        <v>0.636363636363636</v>
      </c>
    </row>
    <row r="6" customFormat="false" ht="15" hidden="false" customHeight="true" outlineLevel="0" collapsed="false">
      <c r="A6" s="18" t="s">
        <v>86</v>
      </c>
      <c r="B6" s="22" t="n">
        <f aca="false">IFERROR(COUNTIF(预测日志!N2:N1000,"√")/(COUNTIF(预测日志!N2:N1000,"√")+COUNTIF(预测日志!N2:N1000,"×")),"-")</f>
        <v>0.363636363636364</v>
      </c>
    </row>
    <row r="7" customFormat="false" ht="15" hidden="false" customHeight="true" outlineLevel="0" collapsed="false">
      <c r="A7" s="20" t="s">
        <v>87</v>
      </c>
      <c r="B7" s="21" t="n">
        <f aca="true">IFERROR(COUNTIF(OFFSET(预测日志!$M$1,B3-MIN(30,B3)+1,0,MIN(30,B3),1),"√")/MIN(30,B3),"-")</f>
        <v>0.636363636363636</v>
      </c>
    </row>
    <row r="8" customFormat="false" ht="15" hidden="false" customHeight="true" outlineLevel="0" collapsed="false">
      <c r="A8" s="18" t="s">
        <v>88</v>
      </c>
      <c r="B8" s="22" t="n">
        <f aca="true">IFERROR(COUNTIF(OFFSET(预测日志!$N$1,B3-MIN(30,B3)+1,0,MIN(30,B3),1),"√")/MIN(30,B3),"-")</f>
        <v>0.363636363636364</v>
      </c>
    </row>
    <row r="9" customFormat="false" ht="15" hidden="false" customHeight="true" outlineLevel="0" collapsed="false">
      <c r="A9" s="18" t="s">
        <v>89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0.636363636363636</v>
      </c>
    </row>
    <row r="10" customFormat="false" ht="15" hidden="false" customHeight="true" outlineLevel="0" collapsed="false">
      <c r="A10" s="18" t="s">
        <v>90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91</v>
      </c>
    </row>
    <row r="13" customFormat="false" ht="15" hidden="false" customHeight="true" outlineLevel="0" collapsed="false">
      <c r="A13" s="3" t="s">
        <v>92</v>
      </c>
      <c r="B13" s="1" t="n">
        <f aca="false">COUNT(预测日志!R2:R1000)</f>
        <v>12</v>
      </c>
    </row>
    <row r="14" customFormat="false" ht="15" hidden="false" customHeight="true" outlineLevel="0" collapsed="false">
      <c r="A14" s="3" t="s">
        <v>93</v>
      </c>
      <c r="B14" s="1" t="n">
        <f aca="false">COUNTIFS(预测日志!R2:R1000,"&gt;0",预测日志!M2:M1000,"√")+COUNTIFS(预测日志!R2:R1000,"&gt;0",预测日志!M2:M1000,"×")</f>
        <v>11</v>
      </c>
    </row>
    <row r="15" customFormat="false" ht="15" hidden="false" customHeight="true" outlineLevel="0" collapsed="false">
      <c r="A15" s="3" t="s">
        <v>94</v>
      </c>
      <c r="B15" s="1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96</v>
      </c>
    </row>
    <row r="3" customFormat="false" ht="15" hidden="false" customHeight="true" outlineLevel="0" collapsed="false">
      <c r="A3" s="25" t="s">
        <v>97</v>
      </c>
      <c r="B3" s="26" t="s">
        <v>98</v>
      </c>
    </row>
    <row r="4" customFormat="false" ht="15" hidden="false" customHeight="true" outlineLevel="0" collapsed="false">
      <c r="A4" s="25" t="s">
        <v>99</v>
      </c>
      <c r="B4" s="26" t="s">
        <v>100</v>
      </c>
    </row>
    <row r="5" customFormat="false" ht="15" hidden="false" customHeight="true" outlineLevel="0" collapsed="false">
      <c r="A5" s="25" t="s">
        <v>101</v>
      </c>
      <c r="B5" s="26" t="s">
        <v>102</v>
      </c>
    </row>
    <row r="6" customFormat="false" ht="15" hidden="false" customHeight="true" outlineLevel="0" collapsed="false">
      <c r="A6" s="25" t="s">
        <v>103</v>
      </c>
      <c r="B6" s="26" t="s">
        <v>104</v>
      </c>
    </row>
    <row r="7" customFormat="false" ht="15" hidden="false" customHeight="true" outlineLevel="0" collapsed="false">
      <c r="A7" s="25" t="s">
        <v>105</v>
      </c>
      <c r="B7" s="26" t="s">
        <v>106</v>
      </c>
    </row>
    <row r="8" customFormat="false" ht="15" hidden="false" customHeight="true" outlineLevel="0" collapsed="false">
      <c r="A8" s="25" t="s">
        <v>7</v>
      </c>
      <c r="B8" s="26" t="s">
        <v>107</v>
      </c>
    </row>
    <row r="9" customFormat="false" ht="15" hidden="false" customHeight="true" outlineLevel="0" collapsed="false">
      <c r="A9" s="25" t="s">
        <v>14</v>
      </c>
      <c r="B9" s="26" t="s">
        <v>108</v>
      </c>
    </row>
    <row r="10" customFormat="false" ht="15" hidden="false" customHeight="true" outlineLevel="0" collapsed="false">
      <c r="A10" s="25" t="s">
        <v>109</v>
      </c>
      <c r="B10" s="27" t="s">
        <v>110</v>
      </c>
    </row>
    <row r="11" customFormat="false" ht="15" hidden="false" customHeight="true" outlineLevel="0" collapsed="false">
      <c r="A11" s="25" t="s">
        <v>111</v>
      </c>
      <c r="B11" s="26" t="s">
        <v>112</v>
      </c>
    </row>
    <row r="12" customFormat="false" ht="15" hidden="false" customHeight="true" outlineLevel="0" collapsed="false">
      <c r="A12" s="25" t="s">
        <v>113</v>
      </c>
      <c r="B12" s="27" t="s">
        <v>114</v>
      </c>
    </row>
    <row r="13" customFormat="false" ht="15" hidden="false" customHeight="true" outlineLevel="0" collapsed="false">
      <c r="A13" s="3" t="s">
        <v>17</v>
      </c>
      <c r="B13" s="3" t="s">
        <v>115</v>
      </c>
    </row>
    <row r="14" customFormat="false" ht="15" hidden="false" customHeight="true" outlineLevel="0" collapsed="false">
      <c r="A14" s="3" t="s">
        <v>116</v>
      </c>
      <c r="B14" s="3" t="s">
        <v>117</v>
      </c>
    </row>
    <row r="15" customFormat="false" ht="15" hidden="false" customHeight="true" outlineLevel="0" collapsed="false">
      <c r="A15" s="3" t="s">
        <v>118</v>
      </c>
      <c r="B15" s="1" t="s">
        <v>119</v>
      </c>
    </row>
    <row r="16" customFormat="false" ht="15" hidden="false" customHeight="true" outlineLevel="0" collapsed="false">
      <c r="A16" s="3" t="s">
        <v>120</v>
      </c>
      <c r="B16" s="3" t="s">
        <v>121</v>
      </c>
    </row>
    <row r="17" customFormat="false" ht="15" hidden="false" customHeight="true" outlineLevel="0" collapsed="false">
      <c r="A17" s="3" t="s">
        <v>122</v>
      </c>
      <c r="B17" s="3" t="s">
        <v>123</v>
      </c>
    </row>
    <row r="18" customFormat="false" ht="15" hidden="false" customHeight="true" outlineLevel="0" collapsed="false">
      <c r="A18" s="3" t="s">
        <v>124</v>
      </c>
      <c r="B18" s="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2026-09-07T22:36:37Z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