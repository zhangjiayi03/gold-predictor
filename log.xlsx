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<sst xmlns="http://schemas.openxmlformats.org/spreadsheetml/2006/main" count="314" uniqueCount="190">
  <si>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</si>
  <si>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</si>
  <si>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</si>
  <si>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</si>
  <si>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</si>
  <si>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</si>
  <si>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</si>
  <si>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</si>
  <si>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</si>
  <si>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</si>
  <si>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</si>
  <si>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</si>
  <si>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</si>
  <si>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</si>
  <si>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</si>
  <si>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</si>
  <si>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</si>
  <si>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</si>
  <si>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</si>
  <si>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</si>
  <si>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</si>
  <si>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</si>
  <si>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</si>
  <si>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</si>
  <si>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</si>
  <si>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</si>
  <si>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</si>
  <si>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</si>
  <si>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</si>
  <si>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</si>
  <si>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</si>
  <si>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</si>
  <si>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</si>
  <si>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</si>
  <si>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</si>
  <si>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</si>
  <si>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</si>
  <si>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</si>
  <si>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</si>
  <si>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</si>
  <si>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</si>
  <si>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</si>
  <si>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</si>
  <si>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</si>
  <si>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</si>
  <si>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</si>
  <si>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</si>
  <si>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</si>
  <si>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</si>
  <si>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</si>
  <si>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</si>
  <si>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</si>
  <si>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</si>
  <si>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</si>
  <si>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</si>
  <si>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</si>
  <si>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</si>
  <si>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</si>
  <si>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</si>
  <si>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</si>
  <si>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</si>
  <si>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</si>
  <si>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</si>
  <si>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</si>
  <si>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</si>
  <si>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</si>
  <si>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</si>
  <si>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</si>
  <si>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</si>
  <si>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</si>
  <si>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</si>
  <si>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</si>
  <si>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</si>
  <si>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</si>
  <si>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</si>
  <si>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</si>
  <si>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</si>
  <si>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</si>
  <si>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</si>
  <si>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</si>
  <si>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</si>
  <si>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</si>
  <si>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</si>
  <si>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</si>
  <si>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</si>
  <si>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</si>
  <si>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</si>
  <si>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</si>
  <si>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</si>
  <si>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</si>
  <si>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</si>
  <si>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</si>
  <si>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</si>
  <si>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</si>
  <si>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</si>
  <si>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</si>
  <si>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</si>
  <si>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</si>
  <si>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</si>
  <si>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</si>
  <si>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</si>
  <si>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</si>
  <si>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</si>
  <si>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</si>
  <si>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</si>
  <si>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</si>
  <si>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</si>
  <si>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</si>
  <si>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</si>
  <si>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</si>
  <si>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</si>
  <si>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</si>
  <si>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</si>
  <si>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</si>
  <si>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</si>
  <si>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</si>
  <si>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</si>
  <si>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</si>
  <si>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</si>
  <si>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</si>
  <si>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</si>
  <si>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</si>
  <si>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</si>
  <si>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</si>
  <si>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</si>
  <si>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</si>
  <si>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</si>
  <si>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</si>
  <si>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</si>
  <si>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</si>
  <si>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</si>
  <si>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</si>
  <si>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</si>
  <si>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t xml:space="preserve">趋势跌(20日-5.63%·窗口滚动纳入8/21高基数)·60日+7.40%长期涨vs10日-1.78%短期整理背离·FOMC鹰派落地后第5交易日·隔夜深V回补次日</t>
  </si>
  <si>
    <t xml:space="preserve">隔夜V型吸收(下探$4,314.8创两周新低却以$4,364.7更高收盘+0.25%,连续两窗美盘强势回补)[未释放]+央行连购22个月(7月+20t,波兰Q2+51t)与$4,310-4,334双底承接[未释放]+鹰派钝化(加息落地+点阵图已定价,美元/收益率企稳)[已定价] vs $4,380-4,400阻力带两度实测有效[部分定价]+CFTC/ETF投机持仓续降+VIX14.87避险退潮[部分定价]+今窗Fedspeak/PMI偏鹰风险[未释放]→押区间承托的小幅续涨,上沿$4,378为分水岭</t>
  </si>
  <si>
    <t xml:space="preserve">周三06:40晨间定时执行成功(克隆仓库版);9/22结算××(押跌/中vs实际+0.25%涨/小,午后-0.91%在轨被美盘V型回补逆转)后方向转涨:非追结果——独立新证据=更低下探$4,314.8却更高收盘的卖压吸收形态+美元/收益率由续升转企稳;幅度押小:动能衰减(近2窗|-0.54%|→|+0.25%|递减)+事件真空(FOMC已落地,耐用品周五/PCE9/30)+双向关键位距现价&lt;0.4%区间收敛;校准22/20达标校准良好(+3.2pp在±5pp容忍带,Brier0.2448),冻结期已满,三条待改项待用户定夺,本判断沿用冻结前规则</t>
  </si>
  <si>
    <t xml:space="preserve">2026-09-24</t>
  </si>
  <si>
    <t xml:space="preserve">2026-09-24 06:35</t>
  </si>
  <si>
    <t xml:space="preserve">趋势跌(20日-7.16%连续第3日加深)·60日+7.4%长期涨vs10日LBMA-1.58%短期续弱背离·FOMC鹰派落地后第6交易日·昨日破位大阴线次日</t>
  </si>
  <si>
    <t xml:space="preserve">昨日破位大阴线-1.72%(跌穿$4,314.8双底颈线+50%回撤$4,314.66+$4,300整数关,收$4,289.60,场景D兑现)[部分定价]+20日趋势跌加深至-7.16%顺势[已定价]+鹰派加息预期(点阵图16/18年内再加息+PPI/CPI热)美元一个月高位·10Y~4.96%压制[已定价]+VIX四连降至14.21避险溢价归零[部分定价]+CFTC/ETF投机持仓降至2019年中低位[未释放] vs $4,265-4,267三重底(9/14 LBMA/9/18现货/9/23亚市)与央行逢低承接(PBOC 21连月+波兰Q2+51t)[未释放]+昨日sub-$4,300现goodish反弹买盘[未释放]+9/8起8窗口涨跌严格交替[未释放]→押顺势低位阴跌收$4,262-4,276,$4,265为存亡线、$4,314.66为反压确认线</t>
  </si>
  <si>
    <t xml:space="preserve">周四06:32晨间定时执行成功(克隆仓库版);9/23结算××(押涨/小vs实际-1.72%跌/大,场景D兑现且更深)后方向顺势转跌:非追结果——独立依据=破位结构($4,310-4,334三重支撑带单日全数跌穿+隔夜贴$4,289低位横盘无反抽)+趋势标签-7.16%连续加深;幅度押中:破位惯性+20日日均波幅0.99%但$4,265三重底近在-0.5%+央行承接封深跌;校准23/20达标校准良好+0.7pp(Brier0.2473),冻结期已满,三条待改项待用户定夺,本判断沿用冻结前规则;本沙盒无recalc.py,已用soffice重算log.xlsx公式</t>
  </si>
  <si>
    <t xml:space="preserve">2026-09-25</t>
  </si>
  <si>
    <t xml:space="preserve">2026-09-25 06:38</t>
  </si>
  <si>
    <r>
      <rPr>
        <sz val="11"/>
        <color rgb="FF000000"/>
        <rFont val="Noto Sans CJK SC"/>
        <family val="2"/>
      </rPr>
      <t xml:space="preserve">趋势跌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连续第</t>
    </r>
    <r>
      <rPr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Noto Sans CJK SC"/>
        <family val="2"/>
      </rPr>
      <t xml:space="preserve">日深位</t>
    </r>
    <r>
      <rPr>
        <sz val="11"/>
        <color rgb="FF000000"/>
        <rFont val="Calibri"/>
        <family val="2"/>
        <charset val="1"/>
      </rPr>
      <t xml:space="preserve">)·60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+7.3%</t>
    </r>
    <r>
      <rPr>
        <sz val="11"/>
        <color rgb="FF000000"/>
        <rFont val="Noto Sans CJK SC"/>
        <family val="2"/>
      </rPr>
      <t xml:space="preserve">长期涨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LBMA-2.32%</t>
    </r>
    <r>
      <rPr>
        <sz val="11"/>
        <color rgb="FF000000"/>
        <rFont val="Noto Sans CJK SC"/>
        <family val="2"/>
      </rPr>
      <t xml:space="preserve">短期续弱背离</t>
    </r>
    <r>
      <rPr>
        <sz val="11"/>
        <color rgb="FF000000"/>
        <rFont val="Calibri"/>
        <family val="2"/>
        <charset val="1"/>
      </rPr>
      <t xml:space="preserve">·FOMC</t>
    </r>
    <r>
      <rPr>
        <sz val="11"/>
        <color rgb="FF000000"/>
        <rFont val="Noto Sans CJK SC"/>
        <family val="2"/>
      </rPr>
      <t xml:space="preserve">鹰派落地后第</t>
    </r>
    <r>
      <rPr>
        <sz val="11"/>
        <color rgb="FF000000"/>
        <rFont val="Calibri"/>
        <family val="2"/>
        <charset val="1"/>
      </rPr>
      <t xml:space="preserve">7</t>
    </r>
    <r>
      <rPr>
        <sz val="11"/>
        <color rgb="FF000000"/>
        <rFont val="Noto Sans CJK SC"/>
        <family val="2"/>
      </rPr>
      <t xml:space="preserve">交易日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$4,265-4,267</t>
    </r>
    <r>
      <rPr>
        <sz val="11"/>
        <color rgb="FF000000"/>
        <rFont val="Noto Sans CJK SC"/>
        <family val="2"/>
      </rPr>
      <t xml:space="preserve">上沿压缩待变</t>
    </r>
    <r>
      <rPr>
        <sz val="11"/>
        <color rgb="FF000000"/>
        <rFont val="Calibri"/>
        <family val="2"/>
        <charset val="1"/>
      </rPr>
      <t xml:space="preserve">(-0.15%)·</t>
    </r>
    <r>
      <rPr>
        <sz val="11"/>
        <color rgb="FF000000"/>
        <rFont val="Noto Sans CJK SC"/>
        <family val="2"/>
      </rPr>
      <t xml:space="preserve">耐用品订单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密歇根终值日</t>
    </r>
  </si>
  <si>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日趋势跌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连续深位顺势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破位结构未修复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$4,300/$4,314.66</t>
    </r>
    <r>
      <rPr>
        <sz val="11"/>
        <color rgb="FF000000"/>
        <rFont val="Noto Sans CJK SC"/>
        <family val="2"/>
      </rPr>
      <t xml:space="preserve">反压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隔夜横盘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+PPI/CPI</t>
    </r>
    <r>
      <rPr>
        <sz val="11"/>
        <color rgb="FF000000"/>
        <rFont val="Noto Sans CJK SC"/>
        <family val="2"/>
      </rPr>
      <t xml:space="preserve">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四连降</t>
    </r>
    <r>
      <rPr>
        <sz val="11"/>
        <color rgb="FF000000"/>
        <rFont val="Calibri"/>
        <family val="2"/>
        <charset val="1"/>
      </rPr>
      <t xml:space="preserve">14.21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技术指标全线偏空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Noto Sans CJK SC"/>
        <family val="2"/>
      </rPr>
      <t xml:space="preserve">日均线</t>
    </r>
    <r>
      <rPr>
        <sz val="11"/>
        <color rgb="FF000000"/>
        <rFont val="Calibri"/>
        <family val="2"/>
        <charset val="1"/>
      </rPr>
      <t xml:space="preserve">~$4,369</t>
    </r>
    <r>
      <rPr>
        <sz val="11"/>
        <color rgb="FF000000"/>
        <rFont val="Noto Sans CJK SC"/>
        <family val="2"/>
      </rPr>
      <t xml:space="preserve">封盖</t>
    </r>
    <r>
      <rPr>
        <sz val="11"/>
        <color rgb="FF000000"/>
        <rFont val="Calibri"/>
        <family val="2"/>
        <charset val="1"/>
      </rPr>
      <t xml:space="preserve">+MACD</t>
    </r>
    <r>
      <rPr>
        <sz val="11"/>
        <color rgb="FF000000"/>
        <rFont val="Noto Sans CJK SC"/>
        <family val="2"/>
      </rPr>
      <t xml:space="preserve">负</t>
    </r>
    <r>
      <rPr>
        <sz val="11"/>
        <color rgb="FF000000"/>
        <rFont val="Calibri"/>
        <family val="2"/>
        <charset val="1"/>
      </rPr>
      <t xml:space="preserve">+RSI 36.5-44.6)[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今晚耐用品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密歇根若偏热点火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$4,265-4,267</t>
    </r>
    <r>
      <rPr>
        <sz val="11"/>
        <color rgb="FF000000"/>
        <rFont val="Noto Sans CJK SC"/>
        <family val="2"/>
      </rPr>
      <t xml:space="preserve">三重底第四次防守</t>
    </r>
    <r>
      <rPr>
        <sz val="11"/>
        <color rgb="FF000000"/>
        <rFont val="Calibri"/>
        <family val="2"/>
        <charset val="1"/>
      </rPr>
      <t xml:space="preserve">(9/14/9/18/9/24</t>
    </r>
    <r>
      <rPr>
        <sz val="11"/>
        <color rgb="FF000000"/>
        <rFont val="Noto Sans CJK SC"/>
        <family val="2"/>
      </rPr>
      <t xml:space="preserve">三守成功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央行承接</t>
    </r>
    <r>
      <rPr>
        <sz val="11"/>
        <color rgb="FF000000"/>
        <rFont val="Calibri"/>
        <family val="2"/>
        <charset val="1"/>
      </rPr>
      <t xml:space="preserve">(PBOC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Q2+51t,</t>
    </r>
    <r>
      <rPr>
        <sz val="11"/>
        <color rgb="FF000000"/>
        <rFont val="Noto Sans CJK SC"/>
        <family val="2"/>
      </rPr>
      <t xml:space="preserve">逢低买入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]+CCI-262</t>
    </r>
    <r>
      <rPr>
        <sz val="11"/>
        <color rgb="FF000000"/>
        <rFont val="Noto Sans CJK SC"/>
        <family val="2"/>
      </rPr>
      <t xml:space="preserve">超卖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(-1.72%→-0.39%→</t>
    </r>
    <r>
      <rPr>
        <sz val="11"/>
        <color rgb="FF000000"/>
        <rFont val="Noto Sans CJK SC"/>
        <family val="2"/>
      </rPr>
      <t xml:space="preserve">隔夜平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投机持仓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周五空头回补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押顺势压缩后向下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止损延伸至</t>
    </r>
    <r>
      <rPr>
        <sz val="11"/>
        <color rgb="FF000000"/>
        <rFont val="Calibri"/>
        <family val="2"/>
        <charset val="1"/>
      </rPr>
      <t xml:space="preserve">$4,240-4,262(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央行承接封深跌不押大</t>
    </r>
    <r>
      <rPr>
        <sz val="11"/>
        <color rgb="FF000000"/>
        <rFont val="Calibri"/>
        <family val="2"/>
        <charset val="1"/>
      </rPr>
      <t xml:space="preserve">,$4,314.66</t>
    </r>
    <r>
      <rPr>
        <sz val="11"/>
        <color rgb="FF000000"/>
        <rFont val="Noto Sans CJK SC"/>
        <family val="2"/>
      </rPr>
      <t xml:space="preserve">为翻多确认线</t>
    </r>
  </si>
  <si>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06:31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);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9/24√√(</t>
    </r>
    <r>
      <rPr>
        <sz val="11"/>
        <color rgb="FF000000"/>
        <rFont val="Noto Sans CJK SC"/>
        <family val="2"/>
      </rPr>
      <t xml:space="preserve">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vs</t>
    </r>
    <r>
      <rPr>
        <sz val="11"/>
        <color rgb="FF000000"/>
        <rFont val="Noto Sans CJK SC"/>
        <family val="2"/>
      </rPr>
      <t xml:space="preserve">实际</t>
    </r>
    <r>
      <rPr>
        <sz val="11"/>
        <color rgb="FF000000"/>
        <rFont val="Calibri"/>
        <family val="2"/>
        <charset val="1"/>
      </rPr>
      <t xml:space="preserve">-0.39%</t>
    </r>
    <r>
      <rPr>
        <sz val="11"/>
        <color rgb="FF000000"/>
        <rFont val="Noto Sans CJK SC"/>
        <family val="2"/>
      </rPr>
      <t xml:space="preserve">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三重底三守成功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后方向档位维持顺势非追结果——独立依据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趋势标签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深位未变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破位反压</t>
    </r>
    <r>
      <rPr>
        <sz val="11"/>
        <color rgb="FF000000"/>
        <rFont val="Calibri"/>
        <family val="2"/>
        <charset val="1"/>
      </rPr>
      <t xml:space="preserve">$4,314.66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鹰派组合延续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现价距三重底仅</t>
    </r>
    <r>
      <rPr>
        <sz val="11"/>
        <color rgb="FF000000"/>
        <rFont val="Calibri"/>
        <family val="2"/>
        <charset val="1"/>
      </rPr>
      <t xml:space="preserve">-0.15%</t>
    </r>
    <r>
      <rPr>
        <sz val="11"/>
        <color rgb="FF000000"/>
        <rFont val="Noto Sans CJK SC"/>
        <family val="2"/>
      </rPr>
      <t xml:space="preserve">封深跌故押中不押大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冻结前规则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动能衰减强信号优先中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小档</t>
    </r>
    <r>
      <rPr>
        <sz val="11"/>
        <color rgb="FF000000"/>
        <rFont val="Calibri"/>
        <family val="2"/>
        <charset val="1"/>
      </rPr>
      <t xml:space="preserve">);</t>
    </r>
    <r>
      <rPr>
        <sz val="11"/>
        <color rgb="FF000000"/>
        <rFont val="Noto Sans CJK SC"/>
        <family val="2"/>
      </rPr>
      <t xml:space="preserve">校准</t>
    </r>
    <r>
      <rPr>
        <sz val="11"/>
        <color rgb="FF000000"/>
        <rFont val="Calibri"/>
        <family val="2"/>
        <charset val="1"/>
      </rPr>
      <t xml:space="preserve">24/20</t>
    </r>
    <r>
      <rPr>
        <sz val="11"/>
        <color rgb="FF000000"/>
        <rFont val="Noto Sans CJK SC"/>
        <family val="2"/>
      </rPr>
      <t xml:space="preserve">达标良好</t>
    </r>
    <r>
      <rPr>
        <sz val="11"/>
        <color rgb="FF000000"/>
        <rFont val="Calibri"/>
        <family val="2"/>
        <charset val="1"/>
      </rPr>
      <t xml:space="preserve">+2.5pp(Brier0.2454),</t>
    </r>
    <r>
      <rPr>
        <sz val="11"/>
        <color rgb="FF000000"/>
        <rFont val="Noto Sans CJK SC"/>
        <family val="2"/>
      </rPr>
      <t xml:space="preserve">冻结期已满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三条待改项仍待用户定夺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本沙盒无</t>
    </r>
    <r>
      <rPr>
        <sz val="11"/>
        <color rgb="FF000000"/>
        <rFont val="Calibri"/>
        <family val="2"/>
        <charset val="1"/>
      </rPr>
      <t xml:space="preserve">recalc.py,</t>
    </r>
    <r>
      <rPr>
        <sz val="11"/>
        <color rgb="FF000000"/>
        <rFont val="Noto Sans CJK SC"/>
        <family val="2"/>
      </rPr>
      <t xml:space="preserve">已用</t>
    </r>
    <r>
      <rPr>
        <sz val="11"/>
        <color rgb="FF000000"/>
        <rFont val="Calibri"/>
        <family val="2"/>
        <charset val="1"/>
      </rPr>
      <t xml:space="preserve">soffice</t>
    </r>
    <r>
      <rPr>
        <sz val="11"/>
        <color rgb="FF000000"/>
        <rFont val="Noto Sans CJK SC"/>
        <family val="2"/>
      </rPr>
      <t xml:space="preserve">重算</t>
    </r>
    <r>
      <rPr>
        <sz val="11"/>
        <color rgb="FF000000"/>
        <rFont val="Calibri"/>
        <family val="2"/>
        <charset val="1"/>
      </rPr>
      <t xml:space="preserve">log.xlsx</t>
    </r>
    <r>
      <rPr>
        <sz val="11"/>
        <color rgb="FF000000"/>
        <rFont val="Noto Sans CJK SC"/>
        <family val="2"/>
      </rPr>
      <t xml:space="preserve">公式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</si>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</sst>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6" t="s">
        <v>20</v>
      </c>
      <c r="E24" s="6" t="s">
        <v>38</v>
      </c>
      <c r="F24" s="6" t="s">
        <v>20</v>
      </c>
      <c r="G24" s="6" t="s">
        <v>38</v>
      </c>
      <c r="H24" s="6" t="s">
        <v>22</v>
      </c>
      <c r="I24" s="5" t="n">
        <v>4289.6</v>
      </c>
      <c r="J24" s="7" t="n">
        <f aca="false">IF(OR(I24="",C24=""),"",(I24-C24)/C24)</f>
        <v>-0.0172062226498956</v>
      </c>
      <c r="K24" s="4" t="str">
        <f aca="false">IF(J24="","",IF(J24&gt;0,"涨",IF(J24&lt;0,"跌","平")))</f>
        <v>跌</v>
      </c>
      <c r="L24" s="4" t="str">
        <f aca="false">IF(J24="","",IF(ABS(J24)&lt;=0.003,"小",IF(ABS(J24)&lt;=0.01,"中","大")))</f>
        <v>大</v>
      </c>
      <c r="M24" s="4" t="str">
        <f aca="false">IF(OR(D24="",K24=""),"",IF(D24=K24,"√","×"))</f>
        <v>×</v>
      </c>
      <c r="N24" s="4" t="str">
        <f aca="false">IF(OR(E24="",L24=""),"",IF(E24=L24,"√","×"))</f>
        <v>×</v>
      </c>
      <c r="O24" s="6" t="s">
        <v>133</v>
      </c>
      <c r="P24" s="6" t="s">
        <v>134</v>
      </c>
      <c r="Q24" s="6" t="s">
        <v>135</v>
      </c>
      <c r="R24" s="1" t="n">
        <v>55</v>
      </c>
    </row>
    <row r="25" customFormat="false" ht="15" hidden="false" customHeight="true" outlineLevel="0" collapsed="false">
      <c r="A25" s="8" t="s">
        <v>136</v>
      </c>
      <c r="B25" s="8" t="s">
        <v>137</v>
      </c>
      <c r="C25" s="9" t="n">
        <v>4289.1</v>
      </c>
      <c r="D25" s="10" t="s">
        <v>44</v>
      </c>
      <c r="E25" s="10" t="s">
        <v>33</v>
      </c>
      <c r="F25" s="10" t="s">
        <v>44</v>
      </c>
      <c r="G25" s="10" t="s">
        <v>33</v>
      </c>
      <c r="H25" s="10" t="s">
        <v>22</v>
      </c>
      <c r="I25" s="9" t="n">
        <v>4272.2</v>
      </c>
      <c r="J25" s="11" t="n">
        <f aca="false">IF(OR(I25="",C25=""),"",(I25-C25)/C25)</f>
        <v>-0.00394022055909178</v>
      </c>
      <c r="K25" s="8" t="str">
        <f aca="false">IF(J25="","",IF(J25&gt;0,"涨",IF(J25&lt;0,"跌","平")))</f>
        <v>跌</v>
      </c>
      <c r="L25" s="8" t="str">
        <f aca="false">IF(J25="","",IF(ABS(J25)&lt;=0.003,"小",IF(ABS(J25)&lt;=0.01,"中","大")))</f>
        <v>中</v>
      </c>
      <c r="M25" s="8" t="str">
        <f aca="false">IF(OR(D25="",K25=""),"",IF(D25=K25,"√","×"))</f>
        <v>√</v>
      </c>
      <c r="N25" s="8" t="str">
        <f aca="false">IF(OR(E25="",L25=""),"",IF(E25=L25,"√","×"))</f>
        <v>√</v>
      </c>
      <c r="O25" s="10" t="s">
        <v>138</v>
      </c>
      <c r="P25" s="10" t="s">
        <v>139</v>
      </c>
      <c r="Q25" s="10" t="s">
        <v>140</v>
      </c>
      <c r="R25" s="1" t="n">
        <v>55</v>
      </c>
    </row>
    <row r="26" customFormat="false" ht="15" hidden="false" customHeight="true" outlineLevel="0" collapsed="false">
      <c r="A26" s="4" t="s">
        <v>141</v>
      </c>
      <c r="B26" s="4" t="s">
        <v>142</v>
      </c>
      <c r="C26" s="5" t="n">
        <v>4273.2</v>
      </c>
      <c r="D26" s="16" t="s">
        <v>44</v>
      </c>
      <c r="E26" s="16" t="s">
        <v>33</v>
      </c>
      <c r="F26" s="16" t="s">
        <v>44</v>
      </c>
      <c r="G26" s="16" t="s">
        <v>33</v>
      </c>
      <c r="H26" s="16" t="s">
        <v>22</v>
      </c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16" t="s">
        <v>143</v>
      </c>
      <c r="P26" s="4" t="s">
        <v>144</v>
      </c>
      <c r="Q26" s="16" t="s">
        <v>145</v>
      </c>
      <c r="R26" s="0" t="n">
        <v>55</v>
      </c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146</v>
      </c>
    </row>
    <row r="3" customFormat="false" ht="15" hidden="false" customHeight="true" outlineLevel="0" collapsed="false">
      <c r="A3" s="18" t="s">
        <v>147</v>
      </c>
      <c r="B3" s="19" t="n">
        <f aca="false">COUNTIF(预测日志!M2:M1000,"√")+COUNTIF(预测日志!M2:M1000,"×")</f>
        <v>24</v>
      </c>
    </row>
    <row r="4" customFormat="false" ht="15" hidden="false" customHeight="true" outlineLevel="0" collapsed="false">
      <c r="A4" s="18" t="s">
        <v>148</v>
      </c>
      <c r="B4" s="19" t="n">
        <f aca="false">COUNTA(预测日志!A2:A1000)</f>
        <v>25</v>
      </c>
    </row>
    <row r="5" customFormat="false" ht="15" hidden="false" customHeight="true" outlineLevel="0" collapsed="false">
      <c r="A5" s="20" t="s">
        <v>149</v>
      </c>
      <c r="B5" s="21" t="n">
        <f aca="false">IFERROR(COUNTIF(预测日志!M2:M1000,"√")/B3,"-")</f>
        <v>0.583333333333333</v>
      </c>
    </row>
    <row r="6" customFormat="false" ht="15" hidden="false" customHeight="true" outlineLevel="0" collapsed="false">
      <c r="A6" s="18" t="s">
        <v>150</v>
      </c>
      <c r="B6" s="22" t="n">
        <f aca="false">IFERROR(COUNTIF(预测日志!N2:N1000,"√")/(COUNTIF(预测日志!N2:N1000,"√")+COUNTIF(预测日志!N2:N1000,"×")),"-")</f>
        <v>0.416666666666667</v>
      </c>
    </row>
    <row r="7" customFormat="false" ht="15" hidden="false" customHeight="true" outlineLevel="0" collapsed="false">
      <c r="A7" s="20" t="s">
        <v>151</v>
      </c>
      <c r="B7" s="21" t="n">
        <f aca="true">IFERROR(COUNTIF(OFFSET(预测日志!$M$1,B3-MIN(30,B3)+1,0,MIN(30,B3),1),"√")/MIN(30,B3),"-")</f>
        <v>0.583333333333333</v>
      </c>
    </row>
    <row r="8" customFormat="false" ht="15" hidden="false" customHeight="true" outlineLevel="0" collapsed="false">
      <c r="A8" s="18" t="s">
        <v>152</v>
      </c>
      <c r="B8" s="22" t="n">
        <f aca="true">IFERROR(COUNTIF(OFFSET(预测日志!$N$1,B3-MIN(30,B3)+1,0,MIN(30,B3),1),"√")/MIN(30,B3),"-")</f>
        <v>0.416666666666667</v>
      </c>
    </row>
    <row r="9" customFormat="false" ht="15" hidden="false" customHeight="true" outlineLevel="0" collapsed="false">
      <c r="A9" s="18" t="s">
        <v>153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0.555555555555556</v>
      </c>
    </row>
    <row r="10" customFormat="false" ht="15" hidden="false" customHeight="true" outlineLevel="0" collapsed="false">
      <c r="A10" s="18" t="s">
        <v>154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155</v>
      </c>
    </row>
    <row r="13" customFormat="false" ht="15" hidden="false" customHeight="true" outlineLevel="0" collapsed="false">
      <c r="A13" s="3" t="s">
        <v>156</v>
      </c>
      <c r="B13" s="1" t="n">
        <f aca="false">COUNT(预测日志!R2:R1000)</f>
        <v>25</v>
      </c>
    </row>
    <row r="14" customFormat="false" ht="15" hidden="false" customHeight="true" outlineLevel="0" collapsed="false">
      <c r="A14" s="3" t="s">
        <v>157</v>
      </c>
      <c r="B14" s="1" t="n">
        <f aca="false">COUNTIFS(预测日志!R2:R1000,"&gt;0",预测日志!M2:M1000,"√")+COUNTIFS(预测日志!R2:R1000,"&gt;0",预测日志!M2:M1000,"×")</f>
        <v>24</v>
      </c>
    </row>
    <row r="15" customFormat="false" ht="15" hidden="false" customHeight="true" outlineLevel="0" collapsed="false">
      <c r="A15" s="3" t="s">
        <v>158</v>
      </c>
      <c r="B15" s="1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160</v>
      </c>
    </row>
    <row r="3" customFormat="false" ht="15" hidden="false" customHeight="true" outlineLevel="0" collapsed="false">
      <c r="A3" s="25" t="s">
        <v>161</v>
      </c>
      <c r="B3" s="26" t="s">
        <v>162</v>
      </c>
    </row>
    <row r="4" customFormat="false" ht="15" hidden="false" customHeight="true" outlineLevel="0" collapsed="false">
      <c r="A4" s="25" t="s">
        <v>163</v>
      </c>
      <c r="B4" s="26" t="s">
        <v>164</v>
      </c>
    </row>
    <row r="5" customFormat="false" ht="15" hidden="false" customHeight="true" outlineLevel="0" collapsed="false">
      <c r="A5" s="25" t="s">
        <v>165</v>
      </c>
      <c r="B5" s="26" t="s">
        <v>166</v>
      </c>
    </row>
    <row r="6" customFormat="false" ht="15" hidden="false" customHeight="true" outlineLevel="0" collapsed="false">
      <c r="A6" s="25" t="s">
        <v>167</v>
      </c>
      <c r="B6" s="26" t="s">
        <v>168</v>
      </c>
    </row>
    <row r="7" customFormat="false" ht="15" hidden="false" customHeight="true" outlineLevel="0" collapsed="false">
      <c r="A7" s="25" t="s">
        <v>169</v>
      </c>
      <c r="B7" s="26" t="s">
        <v>170</v>
      </c>
    </row>
    <row r="8" customFormat="false" ht="15" hidden="false" customHeight="true" outlineLevel="0" collapsed="false">
      <c r="A8" s="25" t="s">
        <v>7</v>
      </c>
      <c r="B8" s="26" t="s">
        <v>171</v>
      </c>
    </row>
    <row r="9" customFormat="false" ht="15" hidden="false" customHeight="true" outlineLevel="0" collapsed="false">
      <c r="A9" s="25" t="s">
        <v>14</v>
      </c>
      <c r="B9" s="26" t="s">
        <v>172</v>
      </c>
    </row>
    <row r="10" customFormat="false" ht="15" hidden="false" customHeight="true" outlineLevel="0" collapsed="false">
      <c r="A10" s="25" t="s">
        <v>173</v>
      </c>
      <c r="B10" s="27" t="s">
        <v>174</v>
      </c>
    </row>
    <row r="11" customFormat="false" ht="15" hidden="false" customHeight="true" outlineLevel="0" collapsed="false">
      <c r="A11" s="25" t="s">
        <v>175</v>
      </c>
      <c r="B11" s="26" t="s">
        <v>176</v>
      </c>
    </row>
    <row r="12" customFormat="false" ht="15" hidden="false" customHeight="true" outlineLevel="0" collapsed="false">
      <c r="A12" s="25" t="s">
        <v>177</v>
      </c>
      <c r="B12" s="27" t="s">
        <v>178</v>
      </c>
    </row>
    <row r="13" customFormat="false" ht="15" hidden="false" customHeight="true" outlineLevel="0" collapsed="false">
      <c r="A13" s="3" t="s">
        <v>17</v>
      </c>
      <c r="B13" s="3" t="s">
        <v>179</v>
      </c>
    </row>
    <row r="14" customFormat="false" ht="15" hidden="false" customHeight="true" outlineLevel="0" collapsed="false">
      <c r="A14" s="3" t="s">
        <v>180</v>
      </c>
      <c r="B14" s="3" t="s">
        <v>181</v>
      </c>
    </row>
    <row r="15" customFormat="false" ht="15" hidden="false" customHeight="true" outlineLevel="0" collapsed="false">
      <c r="A15" s="3" t="s">
        <v>182</v>
      </c>
      <c r="B15" s="1" t="s">
        <v>183</v>
      </c>
    </row>
    <row r="16" customFormat="false" ht="15" hidden="false" customHeight="true" outlineLevel="0" collapsed="false">
      <c r="A16" s="3" t="s">
        <v>184</v>
      </c>
      <c r="B16" s="3" t="s">
        <v>185</v>
      </c>
    </row>
    <row r="17" customFormat="false" ht="15" hidden="false" customHeight="true" outlineLevel="0" collapsed="false">
      <c r="A17" s="3" t="s">
        <v>186</v>
      </c>
      <c r="B17" s="3" t="s">
        <v>187</v>
      </c>
    </row>
    <row r="18" customFormat="false" ht="15" hidden="false" customHeight="true" outlineLevel="0" collapsed="false">
      <c r="A18" s="3" t="s">
        <v>188</v>
      </c>
      <c r="B18" s="3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2026-09-24T22:36:08Z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