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<sst xmlns="http://schemas.openxmlformats.org/spreadsheetml/2006/main" count="155" uniqueCount="111">
  <si>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</si>
  <si>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</si>
  <si>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</si>
  <si>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</si>
  <si>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</si>
  <si>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</si>
  <si>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</si>
  <si>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</si>
  <si>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</si>
  <si>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</si>
  <si>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</si>
  <si>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</si>
  <si>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</si>
  <si>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</si>
  <si>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</si>
  <si>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</si>
  <si>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</si>
  <si>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</si>
  <si>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</si>
  <si>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</si>
  <si>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</si>
  <si>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</si>
  <si>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</si>
  <si>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</si>
  <si>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</si>
  <si>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</si>
  <si>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</si>
  <si>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</si>
  <si>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</si>
  <si>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</si>
  <si>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</si>
  <si>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</si>
  <si>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</si>
  <si>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</si>
  <si>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</si>
  <si>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</si>
  <si>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</si>
  <si>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</si>
  <si>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</si>
  <si>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</si>
  <si>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</si>
  <si>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</si>
  <si>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</si>
  <si>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</si>
  <si>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</si>
  <si>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</si>
  <si>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</si>
  <si>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</si>
  <si>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</si>
  <si>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</si>
  <si>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</si>
  <si>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</si>
  <si>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</si>
  <si>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</si>
  <si>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</si>
  <si>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</si>
  <si>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</si>
  <si>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</si>
  <si>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</si>
  <si>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</si>
  <si>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</si>
  <si>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</si>
  <si>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</si>
  <si>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</si>
  <si>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r>
      <rPr>
        <sz val="11"/>
        <color rgb="FF000000"/>
        <rFont val="Noto Sans CJK SC"/>
        <family val="2"/>
      </rPr>
      <t xml:space="preserve">趋势涨转急跌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日现货</t>
    </r>
    <r>
      <rPr>
        <sz val="11"/>
        <color rgb="FF000000"/>
        <rFont val="Calibri"/>
        <family val="2"/>
        <charset val="1"/>
      </rPr>
      <t xml:space="preserve">+2.9%</t>
    </r>
    <r>
      <rPr>
        <sz val="11"/>
        <color rgb="FF000000"/>
        <rFont val="Noto Sans CJK SC"/>
        <family val="2"/>
      </rPr>
      <t xml:space="preserve">已退出超买</t>
    </r>
    <r>
      <rPr>
        <sz val="11"/>
        <color rgb="FF000000"/>
        <rFont val="Calibri"/>
        <family val="2"/>
        <charset val="1"/>
      </rPr>
      <t xml:space="preserve">,10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-3.0%)</t>
    </r>
  </si>
  <si>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月维持利率概率约</t>
    </r>
    <r>
      <rPr>
        <sz val="11"/>
        <color rgb="FF000000"/>
        <rFont val="Calibri"/>
        <family val="2"/>
        <charset val="1"/>
      </rPr>
      <t xml:space="preserve">54%+2026</t>
    </r>
    <r>
      <rPr>
        <sz val="11"/>
        <color rgb="FF000000"/>
        <rFont val="Noto Sans CJK SC"/>
        <family val="2"/>
      </rPr>
      <t xml:space="preserve">加息押注近半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技术破位深化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跌破</t>
    </r>
    <r>
      <rPr>
        <sz val="11"/>
        <color rgb="FF000000"/>
        <rFont val="Calibri"/>
        <family val="2"/>
        <charset val="1"/>
      </rPr>
      <t xml:space="preserve">4370/4346,</t>
    </r>
    <r>
      <rPr>
        <sz val="11"/>
        <color rgb="FF000000"/>
        <rFont val="Noto Sans CJK SC"/>
        <family val="2"/>
      </rPr>
      <t xml:space="preserve">收于全天低位</t>
    </r>
    <r>
      <rPr>
        <sz val="11"/>
        <color rgb="FF000000"/>
        <rFont val="Calibri"/>
        <family val="2"/>
        <charset val="1"/>
      </rPr>
      <t xml:space="preserve">)→</t>
    </r>
    <r>
      <rPr>
        <sz val="11"/>
        <color rgb="FF000000"/>
        <rFont val="Noto Sans CJK SC"/>
        <family val="2"/>
      </rPr>
      <t xml:space="preserve">惯性偏空；托底</t>
    </r>
    <r>
      <rPr>
        <sz val="11"/>
        <color rgb="FF000000"/>
        <rFont val="Calibri"/>
        <family val="2"/>
        <charset val="1"/>
      </rPr>
      <t xml:space="preserve">:4313-4335</t>
    </r>
    <r>
      <rPr>
        <sz val="11"/>
        <color rgb="FF000000"/>
        <rFont val="Noto Sans CJK SC"/>
        <family val="2"/>
      </rPr>
      <t xml:space="preserve">三重支撑汇合</t>
    </r>
    <r>
      <rPr>
        <sz val="11"/>
        <color rgb="FF000000"/>
        <rFont val="Calibri"/>
        <family val="2"/>
        <charset val="1"/>
      </rPr>
      <t xml:space="preserve">(6</t>
    </r>
    <r>
      <rPr>
        <sz val="11"/>
        <color rgb="FF000000"/>
        <rFont val="Noto Sans CJK SC"/>
        <family val="2"/>
      </rPr>
      <t xml:space="preserve">月平台</t>
    </r>
    <r>
      <rPr>
        <sz val="11"/>
        <color rgb="FF000000"/>
        <rFont val="Calibri"/>
        <family val="2"/>
        <charset val="1"/>
      </rPr>
      <t xml:space="preserve">+50%</t>
    </r>
    <r>
      <rPr>
        <sz val="11"/>
        <color rgb="FF000000"/>
        <rFont val="Noto Sans CJK SC"/>
        <family val="2"/>
      </rPr>
      <t xml:space="preserve">回撤</t>
    </r>
    <r>
      <rPr>
        <sz val="11"/>
        <color rgb="FF000000"/>
        <rFont val="Calibri"/>
        <family val="2"/>
        <charset val="1"/>
      </rPr>
      <t xml:space="preserve">+8</t>
    </r>
    <r>
      <rPr>
        <sz val="11"/>
        <color rgb="FF000000"/>
        <rFont val="Noto Sans CJK SC"/>
        <family val="2"/>
      </rPr>
      <t xml:space="preserve">月突破位</t>
    </r>
    <r>
      <rPr>
        <sz val="11"/>
        <color rgb="FF000000"/>
        <rFont val="Calibri"/>
        <family val="2"/>
        <charset val="1"/>
      </rPr>
      <t xml:space="preserve">)+PBOC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吨近三年最大</t>
    </r>
    <r>
      <rPr>
        <sz val="11"/>
        <color rgb="FF000000"/>
        <rFont val="Calibri"/>
        <family val="2"/>
        <charset val="1"/>
      </rPr>
      <t xml:space="preserve">)+</t>
    </r>
    <r>
      <rPr>
        <sz val="11"/>
        <color rgb="FF000000"/>
        <rFont val="Noto Sans CJK SC"/>
        <family val="2"/>
      </rPr>
      <t xml:space="preserve">超买解除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日现货口径</t>
    </r>
    <r>
      <rPr>
        <sz val="11"/>
        <color rgb="FF000000"/>
        <rFont val="Calibri"/>
        <family val="2"/>
        <charset val="1"/>
      </rPr>
      <t xml:space="preserve">+2.9%&lt;8%</t>
    </r>
    <r>
      <rPr>
        <sz val="11"/>
        <color rgb="FF000000"/>
        <rFont val="Noto Sans CJK SC"/>
        <family val="2"/>
      </rPr>
      <t xml:space="preserve">阈值</t>
    </r>
    <r>
      <rPr>
        <sz val="11"/>
        <color rgb="FF000000"/>
        <rFont val="Calibri"/>
        <family val="2"/>
        <charset val="1"/>
      </rPr>
      <t xml:space="preserve">)+VIX14.92</t>
    </r>
    <r>
      <rPr>
        <sz val="11"/>
        <color rgb="FF000000"/>
        <rFont val="Noto Sans CJK SC"/>
        <family val="2"/>
      </rPr>
      <t xml:space="preserve">无流动性冲击；连跌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-7.3%</t>
    </r>
    <r>
      <rPr>
        <sz val="11"/>
        <color rgb="FF000000"/>
        <rFont val="Noto Sans CJK SC"/>
        <family val="2"/>
      </rPr>
      <t xml:space="preserve">后首测厚支撑→押跌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中档</t>
    </r>
  </si>
  <si>
    <r>
      <rPr>
        <sz val="11"/>
        <color rgb="FF000000"/>
        <rFont val="Noto Sans CJK SC"/>
        <family val="2"/>
      </rPr>
      <t xml:space="preserve">周三</t>
    </r>
    <r>
      <rPr>
        <sz val="11"/>
        <color rgb="FF000000"/>
        <rFont val="Calibri"/>
        <family val="2"/>
        <charset val="1"/>
      </rPr>
      <t xml:space="preserve">06:40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；方向押跌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鹰派主线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破位惯性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跌速急升</t>
    </r>
    <r>
      <rPr>
        <sz val="11"/>
        <color rgb="FF000000"/>
        <rFont val="Calibri"/>
        <family val="2"/>
        <charset val="1"/>
      </rPr>
      <t xml:space="preserve">(-0.19%→-2.75%),</t>
    </r>
    <r>
      <rPr>
        <sz val="11"/>
        <color rgb="FF000000"/>
        <rFont val="Noto Sans CJK SC"/>
        <family val="2"/>
      </rPr>
      <t xml:space="preserve">但</t>
    </r>
    <r>
      <rPr>
        <sz val="11"/>
        <color rgb="FF000000"/>
        <rFont val="Calibri"/>
        <family val="2"/>
        <charset val="1"/>
      </rPr>
      <t xml:space="preserve">4313-4335</t>
    </r>
    <r>
      <rPr>
        <sz val="11"/>
        <color rgb="FF000000"/>
        <rFont val="Noto Sans CJK SC"/>
        <family val="2"/>
      </rPr>
      <t xml:space="preserve">三重支撑首测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逢低加速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超买已解除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现货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+2.9%)</t>
    </r>
    <r>
      <rPr>
        <sz val="11"/>
        <color rgb="FF000000"/>
        <rFont val="Noto Sans CJK SC"/>
        <family val="2"/>
      </rPr>
      <t xml:space="preserve">限制深跌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小档区间几何宽度仅</t>
    </r>
    <r>
      <rPr>
        <sz val="11"/>
        <color rgb="FF000000"/>
        <rFont val="Calibri"/>
        <family val="2"/>
        <charset val="1"/>
      </rPr>
      <t xml:space="preserve">0.36%</t>
    </r>
    <r>
      <rPr>
        <sz val="11"/>
        <color rgb="FF000000"/>
        <rFont val="Noto Sans CJK SC"/>
        <family val="2"/>
      </rPr>
      <t xml:space="preserve">难命中→押中档；</t>
    </r>
    <r>
      <rPr>
        <sz val="11"/>
        <color rgb="FF000000"/>
        <rFont val="Calibri"/>
        <family val="2"/>
        <charset val="1"/>
      </rPr>
      <t xml:space="preserve">9/1</t>
    </r>
    <r>
      <rPr>
        <sz val="11"/>
        <color rgb="FF000000"/>
        <rFont val="Noto Sans CJK SC"/>
        <family val="2"/>
      </rPr>
      <t xml:space="preserve">押小被大档打脸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累计方向</t>
    </r>
    <r>
      <rPr>
        <sz val="11"/>
        <color rgb="FF000000"/>
        <rFont val="Calibri"/>
        <family val="2"/>
        <charset val="1"/>
      </rPr>
      <t xml:space="preserve">7/8</t>
    </r>
    <r>
      <rPr>
        <sz val="11"/>
        <color rgb="FF000000"/>
        <rFont val="Noto Sans CJK SC"/>
        <family val="2"/>
      </rPr>
      <t xml:space="preserve">、档位</t>
    </r>
    <r>
      <rPr>
        <sz val="11"/>
        <color rgb="FF000000"/>
        <rFont val="Calibri"/>
        <family val="2"/>
        <charset val="1"/>
      </rPr>
      <t xml:space="preserve">2/8),</t>
    </r>
    <r>
      <rPr>
        <sz val="11"/>
        <color rgb="FF000000"/>
        <rFont val="Noto Sans CJK SC"/>
        <family val="2"/>
      </rPr>
      <t xml:space="preserve">本判断基于当日信号独立作出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非追结果式上修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</si>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</sst>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3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12" t="s">
        <v>44</v>
      </c>
      <c r="E10" s="12" t="s">
        <v>33</v>
      </c>
      <c r="F10" s="12" t="s">
        <v>44</v>
      </c>
      <c r="G10" s="12" t="s">
        <v>33</v>
      </c>
      <c r="H10" s="12" t="s">
        <v>22</v>
      </c>
      <c r="I10" s="5"/>
      <c r="J10" s="7" t="str">
        <f aca="false">IF(OR(I10="",C10=""),"",(I10-C10)/C10)</f>
        <v/>
      </c>
      <c r="K10" s="4" t="str">
        <f aca="false">IF(J10="","",IF(J10&gt;0,"涨",IF(J10&lt;0,"跌","平")))</f>
        <v/>
      </c>
      <c r="L10" s="4" t="str">
        <f aca="false">IF(J10="","",IF(ABS(J10)&lt;=0.003,"小",IF(ABS(J10)&lt;=0.01,"中","大")))</f>
        <v/>
      </c>
      <c r="M10" s="4" t="str">
        <f aca="false">IF(OR(D10="",K10=""),"",IF(D10=K10,"√","×"))</f>
        <v/>
      </c>
      <c r="N10" s="4" t="str">
        <f aca="false">IF(OR(E10="",L10=""),"",IF(E10=L10,"√","×"))</f>
        <v/>
      </c>
      <c r="O10" s="12" t="s">
        <v>64</v>
      </c>
      <c r="P10" s="12" t="s">
        <v>65</v>
      </c>
      <c r="Q10" s="12" t="s">
        <v>66</v>
      </c>
      <c r="R10" s="0" t="n">
        <v>55</v>
      </c>
    </row>
    <row r="11" customFormat="false" ht="15" hidden="false" customHeight="true" outlineLevel="0" collapsed="false">
      <c r="A11" s="8"/>
      <c r="B11" s="8"/>
      <c r="C11" s="9"/>
      <c r="D11" s="8"/>
      <c r="E11" s="8"/>
      <c r="F11" s="8"/>
      <c r="G11" s="8"/>
      <c r="H11" s="8"/>
      <c r="I11" s="9"/>
      <c r="J11" s="11" t="str">
        <f aca="false">IF(OR(I11="",C11=""),"",(I11-C11)/C11)</f>
        <v/>
      </c>
      <c r="K11" s="8" t="str">
        <f aca="false">IF(J11="","",IF(J11&gt;0,"涨",IF(J11&lt;0,"跌","平")))</f>
        <v/>
      </c>
      <c r="L11" s="8" t="str">
        <f aca="false">IF(J11="","",IF(ABS(J11)&lt;=0.003,"小",IF(ABS(J11)&lt;=0.01,"中","大")))</f>
        <v/>
      </c>
      <c r="M11" s="8" t="str">
        <f aca="false">IF(OR(D11="",K11=""),"",IF(D11=K11,"√","×"))</f>
        <v/>
      </c>
      <c r="N11" s="8" t="str">
        <f aca="false">IF(OR(E11="",L11=""),"",IF(E11=L11,"√","×"))</f>
        <v/>
      </c>
      <c r="O11" s="8"/>
      <c r="P11" s="8"/>
      <c r="Q11" s="8"/>
    </row>
    <row r="12" customFormat="false" ht="15" hidden="false" customHeight="true" outlineLevel="0" collapsed="false">
      <c r="A12" s="4"/>
      <c r="B12" s="4"/>
      <c r="C12" s="5"/>
      <c r="D12" s="4"/>
      <c r="E12" s="4"/>
      <c r="F12" s="4"/>
      <c r="G12" s="4"/>
      <c r="H12" s="4"/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4"/>
      <c r="P12" s="4"/>
      <c r="Q12" s="4"/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3" t="s">
        <v>67</v>
      </c>
    </row>
    <row r="3" customFormat="false" ht="15" hidden="false" customHeight="true" outlineLevel="0" collapsed="false">
      <c r="A3" s="14" t="s">
        <v>68</v>
      </c>
      <c r="B3" s="15" t="n">
        <f aca="false">COUNTIF(预测日志!M2:M1000,"√")+COUNTIF(预测日志!M2:M1000,"×")</f>
        <v>8</v>
      </c>
    </row>
    <row r="4" customFormat="false" ht="15" hidden="false" customHeight="true" outlineLevel="0" collapsed="false">
      <c r="A4" s="14" t="s">
        <v>69</v>
      </c>
      <c r="B4" s="15" t="n">
        <f aca="false">COUNTA(预测日志!A2:A1000)</f>
        <v>9</v>
      </c>
    </row>
    <row r="5" customFormat="false" ht="15" hidden="false" customHeight="true" outlineLevel="0" collapsed="false">
      <c r="A5" s="16" t="s">
        <v>70</v>
      </c>
      <c r="B5" s="17" t="n">
        <f aca="false">IFERROR(COUNTIF(预测日志!M2:M1000,"√")/B3,"-")</f>
        <v>0.875</v>
      </c>
    </row>
    <row r="6" customFormat="false" ht="15" hidden="false" customHeight="true" outlineLevel="0" collapsed="false">
      <c r="A6" s="14" t="s">
        <v>71</v>
      </c>
      <c r="B6" s="18" t="n">
        <f aca="false">IFERROR(COUNTIF(预测日志!N2:N1000,"√")/(COUNTIF(预测日志!N2:N1000,"√")+COUNTIF(预测日志!N2:N1000,"×")),"-")</f>
        <v>0.25</v>
      </c>
    </row>
    <row r="7" customFormat="false" ht="15" hidden="false" customHeight="true" outlineLevel="0" collapsed="false">
      <c r="A7" s="16" t="s">
        <v>72</v>
      </c>
      <c r="B7" s="17" t="n">
        <f aca="true">IFERROR(COUNTIF(OFFSET(预测日志!$M$1,B3-MIN(30,B3)+1,0,MIN(30,B3),1),"√")/MIN(30,B3),"-")</f>
        <v>0.875</v>
      </c>
    </row>
    <row r="8" customFormat="false" ht="15" hidden="false" customHeight="true" outlineLevel="0" collapsed="false">
      <c r="A8" s="14" t="s">
        <v>73</v>
      </c>
      <c r="B8" s="18" t="n">
        <f aca="true">IFERROR(COUNTIF(OFFSET(预测日志!$N$1,B3-MIN(30,B3)+1,0,MIN(30,B3),1),"√")/MIN(30,B3),"-")</f>
        <v>0.25</v>
      </c>
    </row>
    <row r="9" customFormat="false" ht="15" hidden="false" customHeight="true" outlineLevel="0" collapsed="false">
      <c r="A9" s="14" t="s">
        <v>74</v>
      </c>
      <c r="B9" s="15" t="n">
        <f aca="false">IFERROR(COUNTIFS(预测日志!O2:O1000,"趋势*",预测日志!M2:M1000,"√")/(COUNTIFS(预测日志!O2:O1000,"趋势*",预测日志!M2:M1000,"√")+COUNTIFS(预测日志!O2:O1000,"趋势*",预测日志!M2:M1000,"×")),"-")</f>
        <v>0.875</v>
      </c>
    </row>
    <row r="10" customFormat="false" ht="15" hidden="false" customHeight="true" outlineLevel="0" collapsed="false">
      <c r="A10" s="14" t="s">
        <v>75</v>
      </c>
      <c r="B10" s="15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19" t="s">
        <v>76</v>
      </c>
    </row>
    <row r="13" customFormat="false" ht="15" hidden="false" customHeight="true" outlineLevel="0" collapsed="false">
      <c r="A13" s="3" t="s">
        <v>77</v>
      </c>
      <c r="B13" s="1" t="n">
        <f aca="false">COUNT(预测日志!R2:R1000)</f>
        <v>9</v>
      </c>
    </row>
    <row r="14" customFormat="false" ht="15" hidden="false" customHeight="true" outlineLevel="0" collapsed="false">
      <c r="A14" s="3" t="s">
        <v>78</v>
      </c>
      <c r="B14" s="1" t="n">
        <f aca="false">COUNTIFS(预测日志!R2:R1000,"&gt;0",预测日志!M2:M1000,"√")+COUNTIFS(预测日志!R2:R1000,"&gt;0",预测日志!M2:M1000,"×")</f>
        <v>8</v>
      </c>
    </row>
    <row r="15" customFormat="false" ht="15" hidden="false" customHeight="true" outlineLevel="0" collapsed="false">
      <c r="A15" s="3" t="s">
        <v>79</v>
      </c>
      <c r="B15" s="1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0" t="s">
        <v>81</v>
      </c>
    </row>
    <row r="3" customFormat="false" ht="15" hidden="false" customHeight="true" outlineLevel="0" collapsed="false">
      <c r="A3" s="21" t="s">
        <v>82</v>
      </c>
      <c r="B3" s="22" t="s">
        <v>83</v>
      </c>
    </row>
    <row r="4" customFormat="false" ht="15" hidden="false" customHeight="true" outlineLevel="0" collapsed="false">
      <c r="A4" s="21" t="s">
        <v>84</v>
      </c>
      <c r="B4" s="22" t="s">
        <v>85</v>
      </c>
    </row>
    <row r="5" customFormat="false" ht="15" hidden="false" customHeight="true" outlineLevel="0" collapsed="false">
      <c r="A5" s="21" t="s">
        <v>86</v>
      </c>
      <c r="B5" s="22" t="s">
        <v>87</v>
      </c>
    </row>
    <row r="6" customFormat="false" ht="15" hidden="false" customHeight="true" outlineLevel="0" collapsed="false">
      <c r="A6" s="21" t="s">
        <v>88</v>
      </c>
      <c r="B6" s="22" t="s">
        <v>89</v>
      </c>
    </row>
    <row r="7" customFormat="false" ht="15" hidden="false" customHeight="true" outlineLevel="0" collapsed="false">
      <c r="A7" s="21" t="s">
        <v>90</v>
      </c>
      <c r="B7" s="22" t="s">
        <v>91</v>
      </c>
    </row>
    <row r="8" customFormat="false" ht="15" hidden="false" customHeight="true" outlineLevel="0" collapsed="false">
      <c r="A8" s="21" t="s">
        <v>7</v>
      </c>
      <c r="B8" s="22" t="s">
        <v>92</v>
      </c>
    </row>
    <row r="9" customFormat="false" ht="15" hidden="false" customHeight="true" outlineLevel="0" collapsed="false">
      <c r="A9" s="21" t="s">
        <v>14</v>
      </c>
      <c r="B9" s="22" t="s">
        <v>93</v>
      </c>
    </row>
    <row r="10" customFormat="false" ht="15" hidden="false" customHeight="true" outlineLevel="0" collapsed="false">
      <c r="A10" s="21" t="s">
        <v>94</v>
      </c>
      <c r="B10" s="23" t="s">
        <v>95</v>
      </c>
    </row>
    <row r="11" customFormat="false" ht="15" hidden="false" customHeight="true" outlineLevel="0" collapsed="false">
      <c r="A11" s="21" t="s">
        <v>96</v>
      </c>
      <c r="B11" s="22" t="s">
        <v>97</v>
      </c>
    </row>
    <row r="12" customFormat="false" ht="15" hidden="false" customHeight="true" outlineLevel="0" collapsed="false">
      <c r="A12" s="21" t="s">
        <v>98</v>
      </c>
      <c r="B12" s="23" t="s">
        <v>99</v>
      </c>
    </row>
    <row r="13" customFormat="false" ht="15" hidden="false" customHeight="true" outlineLevel="0" collapsed="false">
      <c r="A13" s="3" t="s">
        <v>17</v>
      </c>
      <c r="B13" s="3" t="s">
        <v>100</v>
      </c>
    </row>
    <row r="14" customFormat="false" ht="15" hidden="false" customHeight="true" outlineLevel="0" collapsed="false">
      <c r="A14" s="3" t="s">
        <v>101</v>
      </c>
      <c r="B14" s="3" t="s">
        <v>102</v>
      </c>
    </row>
    <row r="15" customFormat="false" ht="15" hidden="false" customHeight="true" outlineLevel="0" collapsed="false">
      <c r="A15" s="3" t="s">
        <v>103</v>
      </c>
      <c r="B15" s="1" t="s">
        <v>104</v>
      </c>
    </row>
    <row r="16" customFormat="false" ht="15" hidden="false" customHeight="true" outlineLevel="0" collapsed="false">
      <c r="A16" s="3" t="s">
        <v>105</v>
      </c>
      <c r="B16" s="3" t="s">
        <v>106</v>
      </c>
    </row>
    <row r="17" customFormat="false" ht="15" hidden="false" customHeight="true" outlineLevel="0" collapsed="false">
      <c r="A17" s="3" t="s">
        <v>107</v>
      </c>
      <c r="B17" s="3" t="s">
        <v>108</v>
      </c>
    </row>
    <row r="18" customFormat="false" ht="15" hidden="false" customHeight="true" outlineLevel="0" collapsed="false">
      <c r="A18" s="3" t="s">
        <v>109</v>
      </c>
      <c r="B18" s="3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2026-09-01T22:40:45Z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