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<sst xmlns="http://schemas.openxmlformats.org/spreadsheetml/2006/main" count="165" uniqueCount="116">
  <si>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</si>
  <si>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</si>
  <si>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</si>
  <si>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</si>
  <si>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</si>
  <si>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</si>
  <si>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</si>
  <si>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</si>
  <si>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</si>
  <si>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</si>
  <si>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</si>
  <si>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</si>
  <si>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</si>
  <si>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</si>
  <si>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</si>
  <si>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</si>
  <si>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</si>
  <si>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</si>
  <si>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</si>
  <si>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</si>
  <si>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</si>
  <si>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</si>
  <si>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</si>
  <si>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</si>
  <si>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</si>
  <si>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</si>
  <si>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</si>
  <si>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</si>
  <si>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</si>
  <si>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</si>
  <si>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</si>
  <si>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</si>
  <si>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</si>
  <si>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</si>
  <si>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</si>
  <si>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</si>
  <si>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</si>
  <si>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</si>
  <si>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</si>
  <si>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</si>
  <si>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</si>
  <si>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</si>
  <si>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</si>
  <si>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</si>
  <si>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</si>
  <si>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</si>
  <si>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</si>
  <si>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</si>
  <si>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</si>
  <si>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</si>
  <si>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</si>
  <si>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</si>
  <si>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</si>
  <si>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</si>
  <si>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</si>
  <si>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</si>
  <si>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</si>
  <si>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</si>
  <si>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</si>
  <si>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</si>
  <si>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</si>
  <si>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</si>
  <si>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</si>
  <si>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</si>
  <si>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</si>
  <si>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</si>
  <si>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</si>
  <si>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</si>
  <si>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</si>
  <si>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r>
      <rPr>
        <sz val="11"/>
        <color rgb="FF000000"/>
        <rFont val="Noto Sans CJK SC"/>
        <family val="2"/>
      </rPr>
      <t xml:space="preserve">趋势涨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+7.3%</t>
    </r>
    <r>
      <rPr>
        <sz val="11"/>
        <color rgb="FF000000"/>
        <rFont val="Noto Sans CJK SC"/>
        <family val="2"/>
      </rPr>
      <t xml:space="preserve">未超买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伴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型反弹</t>
    </r>
    <r>
      <rPr>
        <sz val="11"/>
        <color rgb="FF000000"/>
        <rFont val="Calibri"/>
        <family val="2"/>
        <charset val="1"/>
      </rPr>
      <t xml:space="preserve">(2</t>
    </r>
    <r>
      <rPr>
        <sz val="11"/>
        <color rgb="FF000000"/>
        <rFont val="Noto Sans CJK SC"/>
        <family val="2"/>
      </rPr>
      <t xml:space="preserve">日连阳</t>
    </r>
    <r>
      <rPr>
        <sz val="11"/>
        <color rgb="FF000000"/>
        <rFont val="Calibri"/>
        <family val="2"/>
        <charset val="1"/>
      </rPr>
      <t xml:space="preserve">+3.4%,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200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</si>
  <si>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沃勒放鸽</t>
    </r>
    <r>
      <rPr>
        <sz val="11"/>
        <color rgb="FF000000"/>
        <rFont val="Calibri"/>
        <family val="2"/>
        <charset val="1"/>
      </rPr>
      <t xml:space="preserve">+ADP</t>
    </r>
    <r>
      <rPr>
        <sz val="11"/>
        <color rgb="FF000000"/>
        <rFont val="Noto Sans CJK SC"/>
        <family val="2"/>
      </rPr>
      <t xml:space="preserve">疲软→美元走弱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+2%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9/1</t>
    </r>
    <r>
      <rPr>
        <sz val="11"/>
        <color rgb="FF000000"/>
        <rFont val="Noto Sans CJK SC"/>
        <family val="2"/>
      </rPr>
      <t xml:space="preserve">高点</t>
    </r>
    <r>
      <rPr>
        <sz val="11"/>
        <color rgb="FF000000"/>
        <rFont val="Calibri"/>
        <family val="2"/>
        <charset val="1"/>
      </rPr>
      <t xml:space="preserve">4461</t>
    </r>
    <r>
      <rPr>
        <sz val="11"/>
        <color rgb="FF000000"/>
        <rFont val="Noto Sans CJK SC"/>
        <family val="2"/>
      </rPr>
      <t xml:space="preserve">冲</t>
    </r>
    <r>
      <rPr>
        <sz val="11"/>
        <color rgb="FF000000"/>
        <rFont val="Calibri"/>
        <family val="2"/>
        <charset val="1"/>
      </rPr>
      <t xml:space="preserve">4504;PBOC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+20t)+ETF</t>
    </r>
    <r>
      <rPr>
        <sz val="11"/>
        <color rgb="FF000000"/>
        <rFont val="Noto Sans CJK SC"/>
        <family val="2"/>
      </rPr>
      <t xml:space="preserve">季流入</t>
    </r>
    <r>
      <rPr>
        <sz val="11"/>
        <color rgb="FF000000"/>
        <rFont val="Calibri"/>
        <family val="2"/>
        <charset val="1"/>
      </rPr>
      <t xml:space="preserve">222t</t>
    </r>
    <r>
      <rPr>
        <sz val="11"/>
        <color rgb="FF000000"/>
        <rFont val="Noto Sans CJK SC"/>
        <family val="2"/>
      </rPr>
      <t xml:space="preserve">托底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两连阳</t>
    </r>
    <r>
      <rPr>
        <sz val="11"/>
        <color rgb="FF000000"/>
        <rFont val="Calibri"/>
        <family val="2"/>
        <charset val="1"/>
      </rPr>
      <t xml:space="preserve">+3.4%</t>
    </r>
    <r>
      <rPr>
        <sz val="11"/>
        <color rgb="FF000000"/>
        <rFont val="Noto Sans CJK SC"/>
        <family val="2"/>
      </rPr>
      <t xml:space="preserve">后今晚非农</t>
    </r>
    <r>
      <rPr>
        <sz val="11"/>
        <color rgb="FF000000"/>
        <rFont val="Calibri"/>
        <family val="2"/>
        <charset val="1"/>
      </rPr>
      <t xml:space="preserve">(20:30)</t>
    </r>
    <r>
      <rPr>
        <sz val="11"/>
        <color rgb="FF000000"/>
        <rFont val="Noto Sans CJK SC"/>
        <family val="2"/>
      </rPr>
      <t xml:space="preserve">前波动收敛→押涨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非农强劲引发获利兑现回踩</t>
    </r>
    <r>
      <rPr>
        <sz val="11"/>
        <color rgb="FF000000"/>
        <rFont val="Calibri"/>
        <family val="2"/>
        <charset val="1"/>
      </rPr>
      <t xml:space="preserve">4461/4433</t>
    </r>
  </si>
  <si>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06:45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</t>
    </r>
    <r>
      <rPr>
        <sz val="11"/>
        <color rgb="FF000000"/>
        <rFont val="Noto Sans CJK SC"/>
        <family val="2"/>
      </rPr>
      <t xml:space="preserve">方向押涨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鸽派催化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技术突破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结构性买盘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但非农事件降档规则触发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原始大档→中</t>
    </r>
    <r>
      <rPr>
        <sz val="11"/>
        <color rgb="FF000000"/>
        <rFont val="Calibri"/>
        <family val="2"/>
        <charset val="1"/>
      </rPr>
      <t xml:space="preserve">);9/2</t>
    </r>
    <r>
      <rPr>
        <sz val="11"/>
        <color rgb="FF000000"/>
        <rFont val="Noto Sans CJK SC"/>
        <family val="2"/>
      </rPr>
      <t xml:space="preserve">双错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惯性看空遇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反转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后基于当日信号独立判断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非追结果式反向修正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</si>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</sst>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2" t="s">
        <v>20</v>
      </c>
      <c r="E11" s="12" t="s">
        <v>33</v>
      </c>
      <c r="F11" s="12" t="s">
        <v>20</v>
      </c>
      <c r="G11" s="12" t="s">
        <v>33</v>
      </c>
      <c r="H11" s="12" t="s">
        <v>22</v>
      </c>
      <c r="I11" s="9"/>
      <c r="J11" s="11" t="str">
        <f aca="false">IF(OR(I11="",C11=""),"",(I11-C11)/C11)</f>
        <v/>
      </c>
      <c r="K11" s="8" t="str">
        <f aca="false">IF(J11="","",IF(J11&gt;0,"涨",IF(J11&lt;0,"跌","平")))</f>
        <v/>
      </c>
      <c r="L11" s="8" t="str">
        <f aca="false">IF(J11="","",IF(ABS(J11)&lt;=0.003,"小",IF(ABS(J11)&lt;=0.01,"中","大")))</f>
        <v/>
      </c>
      <c r="M11" s="8" t="str">
        <f aca="false">IF(OR(D11="",K11=""),"",IF(D11=K11,"√","×"))</f>
        <v/>
      </c>
      <c r="N11" s="8" t="str">
        <f aca="false">IF(OR(E11="",L11=""),"",IF(E11=L11,"√","×"))</f>
        <v/>
      </c>
      <c r="O11" s="12" t="s">
        <v>69</v>
      </c>
      <c r="P11" s="12" t="s">
        <v>70</v>
      </c>
      <c r="Q11" s="12" t="s">
        <v>71</v>
      </c>
      <c r="R11" s="0" t="n">
        <v>60</v>
      </c>
    </row>
    <row r="12" customFormat="false" ht="15" hidden="false" customHeight="true" outlineLevel="0" collapsed="false">
      <c r="A12" s="4"/>
      <c r="B12" s="4"/>
      <c r="C12" s="5"/>
      <c r="D12" s="4"/>
      <c r="E12" s="4"/>
      <c r="F12" s="4"/>
      <c r="G12" s="4"/>
      <c r="H12" s="4"/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4"/>
      <c r="P12" s="4"/>
      <c r="Q12" s="4"/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3" t="s">
        <v>72</v>
      </c>
    </row>
    <row r="3" customFormat="false" ht="15" hidden="false" customHeight="true" outlineLevel="0" collapsed="false">
      <c r="A3" s="14" t="s">
        <v>73</v>
      </c>
      <c r="B3" s="15" t="n">
        <f aca="false">COUNTIF(预测日志!M2:M1000,"√")+COUNTIF(预测日志!M2:M1000,"×")</f>
        <v>9</v>
      </c>
    </row>
    <row r="4" customFormat="false" ht="15" hidden="false" customHeight="true" outlineLevel="0" collapsed="false">
      <c r="A4" s="14" t="s">
        <v>74</v>
      </c>
      <c r="B4" s="15" t="n">
        <f aca="false">COUNTA(预测日志!A2:A1000)</f>
        <v>10</v>
      </c>
    </row>
    <row r="5" customFormat="false" ht="15" hidden="false" customHeight="true" outlineLevel="0" collapsed="false">
      <c r="A5" s="16" t="s">
        <v>75</v>
      </c>
      <c r="B5" s="17" t="n">
        <f aca="false">IFERROR(COUNTIF(预测日志!M2:M1000,"√")/B3,"-")</f>
        <v>0.777777777777778</v>
      </c>
    </row>
    <row r="6" customFormat="false" ht="15" hidden="false" customHeight="true" outlineLevel="0" collapsed="false">
      <c r="A6" s="14" t="s">
        <v>76</v>
      </c>
      <c r="B6" s="18" t="n">
        <f aca="false">IFERROR(COUNTIF(预测日志!N2:N1000,"√")/(COUNTIF(预测日志!N2:N1000,"√")+COUNTIF(预测日志!N2:N1000,"×")),"-")</f>
        <v>0.222222222222222</v>
      </c>
    </row>
    <row r="7" customFormat="false" ht="15" hidden="false" customHeight="true" outlineLevel="0" collapsed="false">
      <c r="A7" s="16" t="s">
        <v>77</v>
      </c>
      <c r="B7" s="17" t="n">
        <f aca="true">IFERROR(COUNTIF(OFFSET(预测日志!$M$1,B3-MIN(30,B3)+1,0,MIN(30,B3),1),"√")/MIN(30,B3),"-")</f>
        <v>0.777777777777778</v>
      </c>
    </row>
    <row r="8" customFormat="false" ht="15" hidden="false" customHeight="true" outlineLevel="0" collapsed="false">
      <c r="A8" s="14" t="s">
        <v>78</v>
      </c>
      <c r="B8" s="18" t="n">
        <f aca="true">IFERROR(COUNTIF(OFFSET(预测日志!$N$1,B3-MIN(30,B3)+1,0,MIN(30,B3),1),"√")/MIN(30,B3),"-")</f>
        <v>0.222222222222222</v>
      </c>
    </row>
    <row r="9" customFormat="false" ht="15" hidden="false" customHeight="true" outlineLevel="0" collapsed="false">
      <c r="A9" s="14" t="s">
        <v>79</v>
      </c>
      <c r="B9" s="15" t="n">
        <f aca="false">IFERROR(COUNTIFS(预测日志!O2:O1000,"趋势*",预测日志!M2:M1000,"√")/(COUNTIFS(预测日志!O2:O1000,"趋势*",预测日志!M2:M1000,"√")+COUNTIFS(预测日志!O2:O1000,"趋势*",预测日志!M2:M1000,"×")),"-")</f>
        <v>0.777777777777778</v>
      </c>
    </row>
    <row r="10" customFormat="false" ht="15" hidden="false" customHeight="true" outlineLevel="0" collapsed="false">
      <c r="A10" s="14" t="s">
        <v>80</v>
      </c>
      <c r="B10" s="15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19" t="s">
        <v>81</v>
      </c>
    </row>
    <row r="13" customFormat="false" ht="15" hidden="false" customHeight="true" outlineLevel="0" collapsed="false">
      <c r="A13" s="3" t="s">
        <v>82</v>
      </c>
      <c r="B13" s="1" t="n">
        <f aca="false">COUNT(预测日志!R2:R1000)</f>
        <v>10</v>
      </c>
    </row>
    <row r="14" customFormat="false" ht="15" hidden="false" customHeight="true" outlineLevel="0" collapsed="false">
      <c r="A14" s="3" t="s">
        <v>83</v>
      </c>
      <c r="B14" s="1" t="n">
        <f aca="false">COUNTIFS(预测日志!R2:R1000,"&gt;0",预测日志!M2:M1000,"√")+COUNTIFS(预测日志!R2:R1000,"&gt;0",预测日志!M2:M1000,"×")</f>
        <v>9</v>
      </c>
    </row>
    <row r="15" customFormat="false" ht="15" hidden="false" customHeight="true" outlineLevel="0" collapsed="false">
      <c r="A15" s="3" t="s">
        <v>84</v>
      </c>
      <c r="B15" s="1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0" t="s">
        <v>86</v>
      </c>
    </row>
    <row r="3" customFormat="false" ht="15" hidden="false" customHeight="true" outlineLevel="0" collapsed="false">
      <c r="A3" s="21" t="s">
        <v>87</v>
      </c>
      <c r="B3" s="22" t="s">
        <v>88</v>
      </c>
    </row>
    <row r="4" customFormat="false" ht="15" hidden="false" customHeight="true" outlineLevel="0" collapsed="false">
      <c r="A4" s="21" t="s">
        <v>89</v>
      </c>
      <c r="B4" s="22" t="s">
        <v>90</v>
      </c>
    </row>
    <row r="5" customFormat="false" ht="15" hidden="false" customHeight="true" outlineLevel="0" collapsed="false">
      <c r="A5" s="21" t="s">
        <v>91</v>
      </c>
      <c r="B5" s="22" t="s">
        <v>92</v>
      </c>
    </row>
    <row r="6" customFormat="false" ht="15" hidden="false" customHeight="true" outlineLevel="0" collapsed="false">
      <c r="A6" s="21" t="s">
        <v>93</v>
      </c>
      <c r="B6" s="22" t="s">
        <v>94</v>
      </c>
    </row>
    <row r="7" customFormat="false" ht="15" hidden="false" customHeight="true" outlineLevel="0" collapsed="false">
      <c r="A7" s="21" t="s">
        <v>95</v>
      </c>
      <c r="B7" s="22" t="s">
        <v>96</v>
      </c>
    </row>
    <row r="8" customFormat="false" ht="15" hidden="false" customHeight="true" outlineLevel="0" collapsed="false">
      <c r="A8" s="21" t="s">
        <v>7</v>
      </c>
      <c r="B8" s="22" t="s">
        <v>97</v>
      </c>
    </row>
    <row r="9" customFormat="false" ht="15" hidden="false" customHeight="true" outlineLevel="0" collapsed="false">
      <c r="A9" s="21" t="s">
        <v>14</v>
      </c>
      <c r="B9" s="22" t="s">
        <v>98</v>
      </c>
    </row>
    <row r="10" customFormat="false" ht="15" hidden="false" customHeight="true" outlineLevel="0" collapsed="false">
      <c r="A10" s="21" t="s">
        <v>99</v>
      </c>
      <c r="B10" s="23" t="s">
        <v>100</v>
      </c>
    </row>
    <row r="11" customFormat="false" ht="15" hidden="false" customHeight="true" outlineLevel="0" collapsed="false">
      <c r="A11" s="21" t="s">
        <v>101</v>
      </c>
      <c r="B11" s="22" t="s">
        <v>102</v>
      </c>
    </row>
    <row r="12" customFormat="false" ht="15" hidden="false" customHeight="true" outlineLevel="0" collapsed="false">
      <c r="A12" s="21" t="s">
        <v>103</v>
      </c>
      <c r="B12" s="23" t="s">
        <v>104</v>
      </c>
    </row>
    <row r="13" customFormat="false" ht="15" hidden="false" customHeight="true" outlineLevel="0" collapsed="false">
      <c r="A13" s="3" t="s">
        <v>17</v>
      </c>
      <c r="B13" s="3" t="s">
        <v>105</v>
      </c>
    </row>
    <row r="14" customFormat="false" ht="15" hidden="false" customHeight="true" outlineLevel="0" collapsed="false">
      <c r="A14" s="3" t="s">
        <v>106</v>
      </c>
      <c r="B14" s="3" t="s">
        <v>107</v>
      </c>
    </row>
    <row r="15" customFormat="false" ht="15" hidden="false" customHeight="true" outlineLevel="0" collapsed="false">
      <c r="A15" s="3" t="s">
        <v>108</v>
      </c>
      <c r="B15" s="1" t="s">
        <v>109</v>
      </c>
    </row>
    <row r="16" customFormat="false" ht="15" hidden="false" customHeight="true" outlineLevel="0" collapsed="false">
      <c r="A16" s="3" t="s">
        <v>110</v>
      </c>
      <c r="B16" s="3" t="s">
        <v>111</v>
      </c>
    </row>
    <row r="17" customFormat="false" ht="15" hidden="false" customHeight="true" outlineLevel="0" collapsed="false">
      <c r="A17" s="3" t="s">
        <v>112</v>
      </c>
      <c r="B17" s="3" t="s">
        <v>113</v>
      </c>
    </row>
    <row r="18" customFormat="false" ht="15" hidden="false" customHeight="true" outlineLevel="0" collapsed="false">
      <c r="A18" s="3" t="s">
        <v>114</v>
      </c>
      <c r="B18" s="3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2026-09-03T22:43:44Z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