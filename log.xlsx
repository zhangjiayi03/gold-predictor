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<sst xmlns="http://schemas.openxmlformats.org/spreadsheetml/2006/main" count="353" uniqueCount="209">
  <si>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</si>
  <si>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</si>
  <si>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</si>
  <si>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</si>
  <si>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</si>
  <si>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</si>
  <si>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</si>
  <si>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</si>
  <si>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</si>
  <si>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</si>
  <si>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</si>
  <si>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</si>
  <si>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</si>
  <si>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</si>
  <si>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</si>
  <si>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</si>
  <si>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</si>
  <si>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</si>
  <si>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</si>
  <si>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</si>
  <si>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</si>
  <si>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</si>
  <si>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</si>
  <si>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</si>
  <si>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</si>
  <si>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</si>
  <si>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</si>
  <si>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</si>
  <si>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</si>
  <si>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</si>
  <si>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</si>
  <si>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</si>
  <si>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</si>
  <si>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</si>
  <si>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</si>
  <si>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</si>
  <si>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</si>
  <si>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</si>
  <si>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</si>
  <si>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</si>
  <si>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</si>
  <si>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</si>
  <si>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</si>
  <si>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</si>
  <si>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</si>
  <si>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</si>
  <si>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</si>
  <si>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</si>
  <si>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</si>
  <si>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</si>
  <si>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</si>
  <si>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</si>
  <si>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</si>
  <si>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</si>
  <si>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</si>
  <si>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</si>
  <si>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</si>
  <si>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</si>
  <si>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</si>
  <si>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</si>
  <si>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</si>
  <si>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</si>
  <si>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</si>
  <si>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</si>
  <si>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</si>
  <si>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</si>
  <si>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</si>
  <si>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</si>
  <si>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</si>
  <si>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</si>
  <si>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</si>
  <si>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</si>
  <si>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</si>
  <si>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</si>
  <si>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</si>
  <si>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</si>
  <si>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</si>
  <si>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</si>
  <si>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</si>
  <si>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</si>
  <si>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</si>
  <si>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</si>
  <si>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</si>
  <si>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</si>
  <si>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</si>
  <si>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</si>
  <si>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</si>
  <si>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</si>
  <si>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</si>
  <si>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</si>
  <si>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</si>
  <si>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</si>
  <si>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</si>
  <si>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</si>
  <si>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</si>
  <si>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</si>
  <si>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</si>
  <si>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</si>
  <si>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</si>
  <si>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</si>
  <si>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</si>
  <si>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</si>
  <si>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</si>
  <si>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</si>
  <si>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</si>
  <si>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</si>
  <si>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</si>
  <si>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</si>
  <si>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</si>
  <si>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</si>
  <si>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</si>
  <si>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</si>
  <si>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</si>
  <si>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</si>
  <si>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</si>
  <si>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</si>
  <si>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</si>
  <si>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</si>
  <si>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</si>
  <si>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</si>
  <si>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</si>
  <si>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</si>
  <si>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</si>
  <si>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</si>
  <si>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</si>
  <si>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</si>
  <si>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</si>
  <si>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</si>
  <si>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</si>
  <si>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</si>
  <si>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</si>
  <si>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</si>
  <si>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</si>
  <si>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</si>
  <si>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</si>
  <si>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</si>
  <si>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</si>
  <si>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</si>
  <si>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</si>
  <si>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</si>
  <si>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</si>
  <si>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</si>
  <si>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</si>
  <si>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</si>
  <si>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</si>
  <si>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</si>
  <si>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</si>
  <si>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</si>
  <si>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</si>
  <si>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</si>
  <si>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</si>
  <si>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</si>
  <si>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</si>
  <si>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</si>
  <si>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</si>
  <si>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</si>
  <si>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</si>
  <si>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</si>
  <si>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</si>
  <si>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</si>
  <si>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</si>
  <si>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</si>
  <si>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t xml:space="preserve">趋势跌(20日-5.14%)·60日+2.24%长期钝化vs10日-3.95%短期续弱·PCE偏冷后修复第2日·初请+ISM今晚窗内/非农明晚窗外·中国国庆休市整周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</si>
  <si>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</si>
  <si>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t xml:space="preserve">周四06:40晨间定时执行(克隆仓库版);9/30结算√√(押跌/中vs实际-0.56%跌/中,午后+0.43%偏离后美盘PCE偏冷不涨反跌回笼,场景A兑现);方向转押涨非追结果(9/30押跌√后逆向)——依据=PCE偏冷钝化+双底+交替5窗;LBMA今起403不可达,基线9/29-9/30以次晨结算价续接(已注source_note);本沙盒无recalc.py,公式用LibreOffice重算;校准28/20良好+1.4pp,Brier0.2464;周六06:30补结算(10/2周五晨间任务未执行→本行漏结算):结算点10-02 06:00已无实时源,gold-api当前$4,141.80疑似冻结于10-02盘中低点区(与Investing/TE/WSJ/AP外部源全矛盾弃用),改用外部双源窗口收盘均值Investing 4,182.07+twelvedata 4,189.2→$4,185.6(两源日切≈北京06:00与预测窗口吻合,其Sep30收盘4,157.34/4,156.5与本系统10-01晨基准价$4,157.30互相验证);实际+0.68%涨/中,方向√档位×(押小档被非农反弹超上限,场景树B带)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</si>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</sst>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6" t="s">
        <v>20</v>
      </c>
      <c r="E30" s="6" t="s">
        <v>38</v>
      </c>
      <c r="F30" s="6" t="s">
        <v>20</v>
      </c>
      <c r="G30" s="6" t="s">
        <v>38</v>
      </c>
      <c r="H30" s="6" t="s">
        <v>22</v>
      </c>
      <c r="I30" s="5" t="n">
        <v>4185.6</v>
      </c>
      <c r="J30" s="7" t="n">
        <f aca="false">IF(OR(I30="",C30=""),"",(I30-C30)/C30)</f>
        <v>0.00680730281673206</v>
      </c>
      <c r="K30" s="4" t="str">
        <f aca="false">IF(J30="","",IF(J30&gt;0,"涨",IF(J30&lt;0,"跌","平")))</f>
        <v>涨</v>
      </c>
      <c r="L30" s="4" t="str">
        <f aca="false">IF(J30="","",IF(ABS(J30)&lt;=0.003,"小",IF(ABS(J30)&lt;=0.01,"中","大")))</f>
        <v>中</v>
      </c>
      <c r="M30" s="4" t="str">
        <f aca="false">IF(OR(D30="",K30=""),"",IF(D30=K30,"√","×"))</f>
        <v>√</v>
      </c>
      <c r="N30" s="4" t="str">
        <f aca="false">IF(OR(E30="",L30=""),"",IF(E30=L30,"√","×"))</f>
        <v>×</v>
      </c>
      <c r="O30" s="6" t="s">
        <v>162</v>
      </c>
      <c r="P30" s="4" t="s">
        <v>163</v>
      </c>
      <c r="Q30" s="6" t="s">
        <v>164</v>
      </c>
      <c r="R30" s="1" t="n">
        <v>55</v>
      </c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165</v>
      </c>
    </row>
    <row r="3" customFormat="false" ht="15" hidden="false" customHeight="true" outlineLevel="0" collapsed="false">
      <c r="A3" s="18" t="s">
        <v>166</v>
      </c>
      <c r="B3" s="19" t="n">
        <f aca="false">COUNTIF(预测日志!M2:M1000,"√")+COUNTIF(预测日志!M2:M1000,"×")</f>
        <v>29</v>
      </c>
    </row>
    <row r="4" customFormat="false" ht="15" hidden="false" customHeight="true" outlineLevel="0" collapsed="false">
      <c r="A4" s="18" t="s">
        <v>167</v>
      </c>
      <c r="B4" s="19" t="n">
        <f aca="false">COUNTA(预测日志!A2:A1000)</f>
        <v>29</v>
      </c>
    </row>
    <row r="5" customFormat="false" ht="15" hidden="false" customHeight="true" outlineLevel="0" collapsed="false">
      <c r="A5" s="20" t="s">
        <v>168</v>
      </c>
      <c r="B5" s="21" t="n">
        <f aca="false">IFERROR(COUNTIF(预测日志!M2:M1000,"√")/B3,"-")</f>
        <v>0.586206896551724</v>
      </c>
    </row>
    <row r="6" customFormat="false" ht="15" hidden="false" customHeight="true" outlineLevel="0" collapsed="false">
      <c r="A6" s="18" t="s">
        <v>169</v>
      </c>
      <c r="B6" s="22" t="n">
        <f aca="false">IFERROR(COUNTIF(预测日志!N2:N1000,"√")/(COUNTIF(预测日志!N2:N1000,"√")+COUNTIF(预测日志!N2:N1000,"×")),"-")</f>
        <v>0.413793103448276</v>
      </c>
    </row>
    <row r="7" customFormat="false" ht="15" hidden="false" customHeight="true" outlineLevel="0" collapsed="false">
      <c r="A7" s="20" t="s">
        <v>170</v>
      </c>
      <c r="B7" s="21" t="n">
        <f aca="true">IFERROR(COUNTIF(OFFSET(预测日志!$M$1,B3-MIN(30,B3)+1,0,MIN(30,B3),1),"√")/MIN(30,B3),"-")</f>
        <v>0.586206896551724</v>
      </c>
    </row>
    <row r="8" customFormat="false" ht="15" hidden="false" customHeight="true" outlineLevel="0" collapsed="false">
      <c r="A8" s="18" t="s">
        <v>171</v>
      </c>
      <c r="B8" s="22" t="n">
        <f aca="true">IFERROR(COUNTIF(OFFSET(预测日志!$N$1,B3-MIN(30,B3)+1,0,MIN(30,B3),1),"√")/MIN(30,B3),"-")</f>
        <v>0.413793103448276</v>
      </c>
    </row>
    <row r="9" customFormat="false" ht="15" hidden="false" customHeight="true" outlineLevel="0" collapsed="false">
      <c r="A9" s="18" t="s">
        <v>172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0.565217391304348</v>
      </c>
    </row>
    <row r="10" customFormat="false" ht="15" hidden="false" customHeight="true" outlineLevel="0" collapsed="false">
      <c r="A10" s="18" t="s">
        <v>173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174</v>
      </c>
    </row>
    <row r="13" customFormat="false" ht="15" hidden="false" customHeight="true" outlineLevel="0" collapsed="false">
      <c r="A13" s="3" t="s">
        <v>175</v>
      </c>
      <c r="B13" s="1" t="n">
        <f aca="false">COUNT(预测日志!R2:R1000)</f>
        <v>29</v>
      </c>
    </row>
    <row r="14" customFormat="false" ht="15" hidden="false" customHeight="true" outlineLevel="0" collapsed="false">
      <c r="A14" s="3" t="s">
        <v>176</v>
      </c>
      <c r="B14" s="1" t="n">
        <f aca="false">COUNTIFS(预测日志!R2:R1000,"&gt;0",预测日志!M2:M1000,"√")+COUNTIFS(预测日志!R2:R1000,"&gt;0",预测日志!M2:M1000,"×")</f>
        <v>29</v>
      </c>
    </row>
    <row r="15" customFormat="false" ht="15" hidden="false" customHeight="true" outlineLevel="0" collapsed="false">
      <c r="A15" s="3" t="s">
        <v>177</v>
      </c>
      <c r="B15" s="1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179</v>
      </c>
    </row>
    <row r="3" customFormat="false" ht="15" hidden="false" customHeight="true" outlineLevel="0" collapsed="false">
      <c r="A3" s="25" t="s">
        <v>180</v>
      </c>
      <c r="B3" s="26" t="s">
        <v>181</v>
      </c>
    </row>
    <row r="4" customFormat="false" ht="15" hidden="false" customHeight="true" outlineLevel="0" collapsed="false">
      <c r="A4" s="25" t="s">
        <v>182</v>
      </c>
      <c r="B4" s="26" t="s">
        <v>183</v>
      </c>
    </row>
    <row r="5" customFormat="false" ht="15" hidden="false" customHeight="true" outlineLevel="0" collapsed="false">
      <c r="A5" s="25" t="s">
        <v>184</v>
      </c>
      <c r="B5" s="26" t="s">
        <v>185</v>
      </c>
    </row>
    <row r="6" customFormat="false" ht="15" hidden="false" customHeight="true" outlineLevel="0" collapsed="false">
      <c r="A6" s="25" t="s">
        <v>186</v>
      </c>
      <c r="B6" s="26" t="s">
        <v>187</v>
      </c>
    </row>
    <row r="7" customFormat="false" ht="15" hidden="false" customHeight="true" outlineLevel="0" collapsed="false">
      <c r="A7" s="25" t="s">
        <v>188</v>
      </c>
      <c r="B7" s="26" t="s">
        <v>189</v>
      </c>
    </row>
    <row r="8" customFormat="false" ht="15" hidden="false" customHeight="true" outlineLevel="0" collapsed="false">
      <c r="A8" s="25" t="s">
        <v>7</v>
      </c>
      <c r="B8" s="26" t="s">
        <v>190</v>
      </c>
    </row>
    <row r="9" customFormat="false" ht="15" hidden="false" customHeight="true" outlineLevel="0" collapsed="false">
      <c r="A9" s="25" t="s">
        <v>14</v>
      </c>
      <c r="B9" s="26" t="s">
        <v>191</v>
      </c>
    </row>
    <row r="10" customFormat="false" ht="15" hidden="false" customHeight="true" outlineLevel="0" collapsed="false">
      <c r="A10" s="25" t="s">
        <v>192</v>
      </c>
      <c r="B10" s="27" t="s">
        <v>193</v>
      </c>
    </row>
    <row r="11" customFormat="false" ht="15" hidden="false" customHeight="true" outlineLevel="0" collapsed="false">
      <c r="A11" s="25" t="s">
        <v>194</v>
      </c>
      <c r="B11" s="26" t="s">
        <v>195</v>
      </c>
    </row>
    <row r="12" customFormat="false" ht="15" hidden="false" customHeight="true" outlineLevel="0" collapsed="false">
      <c r="A12" s="25" t="s">
        <v>196</v>
      </c>
      <c r="B12" s="27" t="s">
        <v>197</v>
      </c>
    </row>
    <row r="13" customFormat="false" ht="15" hidden="false" customHeight="true" outlineLevel="0" collapsed="false">
      <c r="A13" s="3" t="s">
        <v>17</v>
      </c>
      <c r="B13" s="3" t="s">
        <v>198</v>
      </c>
    </row>
    <row r="14" customFormat="false" ht="15" hidden="false" customHeight="true" outlineLevel="0" collapsed="false">
      <c r="A14" s="3" t="s">
        <v>199</v>
      </c>
      <c r="B14" s="3" t="s">
        <v>200</v>
      </c>
    </row>
    <row r="15" customFormat="false" ht="15" hidden="false" customHeight="true" outlineLevel="0" collapsed="false">
      <c r="A15" s="3" t="s">
        <v>201</v>
      </c>
      <c r="B15" s="1" t="s">
        <v>202</v>
      </c>
    </row>
    <row r="16" customFormat="false" ht="15" hidden="false" customHeight="true" outlineLevel="0" collapsed="false">
      <c r="A16" s="3" t="s">
        <v>203</v>
      </c>
      <c r="B16" s="3" t="s">
        <v>204</v>
      </c>
    </row>
    <row r="17" customFormat="false" ht="15" hidden="false" customHeight="true" outlineLevel="0" collapsed="false">
      <c r="A17" s="3" t="s">
        <v>205</v>
      </c>
      <c r="B17" s="3" t="s">
        <v>206</v>
      </c>
    </row>
    <row r="18" customFormat="false" ht="15" hidden="false" customHeight="true" outlineLevel="0" collapsed="false">
      <c r="A18" s="3" t="s">
        <v>207</v>
      </c>
      <c r="B18" s="3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2026-10-02T22:42:07Z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