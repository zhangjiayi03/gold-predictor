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<sst xmlns="http://schemas.openxmlformats.org/spreadsheetml/2006/main" count="95" uniqueCount="76">
  <si>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</si>
  <si>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</si>
  <si>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</si>
  <si>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</si>
  <si>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</si>
  <si>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</si>
  <si>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</si>
  <si>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</si>
  <si>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</si>
  <si>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</si>
  <si>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</si>
  <si>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</si>
  <si>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</si>
  <si>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</si>
  <si>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</si>
  <si>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</si>
  <si>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</si>
  <si>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</si>
  <si>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</si>
  <si>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</si>
  <si>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</si>
  <si>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</si>
  <si>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</si>
  <si>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</si>
  <si>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</si>
  <si>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</si>
  <si>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</si>
  <si>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</si>
  <si>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</si>
  <si>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</si>
  <si>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</si>
  <si>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</si>
  <si>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</si>
  <si>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</si>
  <si>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</si>
  <si>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</si>
  <si>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</si>
  <si>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</si>
  <si>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</si>
  <si>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+14.45%)</t>
    </r>
  </si>
  <si>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(+0.33%→+0.19%)+PCE</t>
    </r>
    <r>
      <rPr>
        <sz val="11"/>
        <color rgb="FF000000"/>
        <rFont val="Noto Sans CJK SC"/>
        <family val="2"/>
      </rPr>
      <t xml:space="preserve">公布前观望；趋势结构完好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+14.45%,200</t>
    </r>
    <r>
      <rPr>
        <sz val="11"/>
        <color rgb="FF000000"/>
        <rFont val="Noto Sans CJK SC"/>
        <family val="2"/>
      </rPr>
      <t xml:space="preserve">日线上方</t>
    </r>
    <r>
      <rPr>
        <sz val="11"/>
        <color rgb="FF000000"/>
        <rFont val="Calibri"/>
        <family val="2"/>
        <charset val="1"/>
      </rPr>
      <t xml:space="preserve">)+PBOC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霍尔木兹避险垫底；风险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偏热或冲高回落</t>
    </r>
  </si>
  <si>
    <r>
      <rPr>
        <sz val="11"/>
        <color rgb="FF000000"/>
        <rFont val="Noto Sans CJK SC"/>
        <family val="2"/>
      </rPr>
      <t xml:space="preserve">周三</t>
    </r>
    <r>
      <rPr>
        <sz val="11"/>
        <color rgb="FF000000"/>
        <rFont val="Calibri"/>
        <family val="2"/>
        <charset val="1"/>
      </rPr>
      <t xml:space="preserve">06:31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；档位改押小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动能连续衰减</t>
    </r>
    <r>
      <rPr>
        <sz val="11"/>
        <color rgb="FF000000"/>
        <rFont val="Calibri"/>
        <family val="2"/>
        <charset val="1"/>
      </rPr>
      <t xml:space="preserve">+PCE</t>
    </r>
    <r>
      <rPr>
        <sz val="11"/>
        <color rgb="FF000000"/>
        <rFont val="Noto Sans CJK SC"/>
        <family val="2"/>
      </rPr>
      <t xml:space="preserve">前观望</t>
    </r>
    <r>
      <rPr>
        <sz val="11"/>
        <color rgb="FF000000"/>
        <rFont val="Calibri"/>
        <family val="2"/>
        <charset val="1"/>
      </rPr>
      <t xml:space="preserve">+VIX15.85</t>
    </r>
    <r>
      <rPr>
        <sz val="11"/>
        <color rgb="FF000000"/>
        <rFont val="Noto Sans CJK SC"/>
        <family val="2"/>
      </rPr>
      <t xml:space="preserve">低位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</si>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</sst>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2" t="s">
        <v>20</v>
      </c>
      <c r="E5" s="12" t="s">
        <v>38</v>
      </c>
      <c r="F5" s="12" t="s">
        <v>20</v>
      </c>
      <c r="G5" s="12" t="s">
        <v>38</v>
      </c>
      <c r="H5" s="12" t="s">
        <v>22</v>
      </c>
      <c r="I5" s="9"/>
      <c r="J5" s="11" t="str">
        <f aca="false">IF(OR(I5="",C5=""),"",(I5-C5)/C5)</f>
        <v/>
      </c>
      <c r="K5" s="8" t="str">
        <f aca="false">IF(J5="","",IF(J5&gt;0,"涨",IF(J5&lt;0,"跌","平")))</f>
        <v/>
      </c>
      <c r="L5" s="8" t="str">
        <f aca="false">IF(J5="","",IF(ABS(J5)&lt;=0.003,"小",IF(ABS(J5)&lt;=0.01,"中","大")))</f>
        <v/>
      </c>
      <c r="M5" s="8" t="str">
        <f aca="false">IF(OR(D5="",K5=""),"",IF(D5=K5,"√","×"))</f>
        <v/>
      </c>
      <c r="N5" s="8" t="str">
        <f aca="false">IF(OR(E5="",L5=""),"",IF(E5=L5,"√","×"))</f>
        <v/>
      </c>
      <c r="O5" s="12" t="s">
        <v>39</v>
      </c>
      <c r="P5" s="12" t="s">
        <v>40</v>
      </c>
      <c r="Q5" s="12" t="s">
        <v>41</v>
      </c>
      <c r="R5" s="0" t="n">
        <v>55</v>
      </c>
    </row>
    <row r="6" customFormat="false" ht="15" hidden="false" customHeight="true" outlineLevel="0" collapsed="false">
      <c r="A6" s="4"/>
      <c r="B6" s="4"/>
      <c r="C6" s="5"/>
      <c r="D6" s="4"/>
      <c r="E6" s="4"/>
      <c r="F6" s="4"/>
      <c r="G6" s="4"/>
      <c r="H6" s="4"/>
      <c r="I6" s="5"/>
      <c r="J6" s="7" t="str">
        <f aca="false">IF(OR(I6="",C6=""),"",(I6-C6)/C6)</f>
        <v/>
      </c>
      <c r="K6" s="4" t="str">
        <f aca="false">IF(J6="","",IF(J6&gt;0,"涨",IF(J6&lt;0,"跌","平")))</f>
        <v/>
      </c>
      <c r="L6" s="4" t="str">
        <f aca="false">IF(J6="","",IF(ABS(J6)&lt;=0.003,"小",IF(ABS(J6)&lt;=0.01,"中","大")))</f>
        <v/>
      </c>
      <c r="M6" s="4" t="str">
        <f aca="false">IF(OR(D6="",K6=""),"",IF(D6=K6,"√","×"))</f>
        <v/>
      </c>
      <c r="N6" s="4" t="str">
        <f aca="false">IF(OR(E6="",L6=""),"",IF(E6=L6,"√","×"))</f>
        <v/>
      </c>
      <c r="O6" s="4"/>
      <c r="P6" s="4"/>
      <c r="Q6" s="4"/>
    </row>
    <row r="7" customFormat="false" ht="15" hidden="false" customHeight="true" outlineLevel="0" collapsed="false">
      <c r="A7" s="8"/>
      <c r="B7" s="8"/>
      <c r="C7" s="9"/>
      <c r="D7" s="8"/>
      <c r="E7" s="8"/>
      <c r="F7" s="8"/>
      <c r="G7" s="8"/>
      <c r="H7" s="8"/>
      <c r="I7" s="9"/>
      <c r="J7" s="11" t="str">
        <f aca="false">IF(OR(I7="",C7=""),"",(I7-C7)/C7)</f>
        <v/>
      </c>
      <c r="K7" s="8" t="str">
        <f aca="false">IF(J7="","",IF(J7&gt;0,"涨",IF(J7&lt;0,"跌","平")))</f>
        <v/>
      </c>
      <c r="L7" s="8" t="str">
        <f aca="false">IF(J7="","",IF(ABS(J7)&lt;=0.003,"小",IF(ABS(J7)&lt;=0.01,"中","大")))</f>
        <v/>
      </c>
      <c r="M7" s="8" t="str">
        <f aca="false">IF(OR(D7="",K7=""),"",IF(D7=K7,"√","×"))</f>
        <v/>
      </c>
      <c r="N7" s="8" t="str">
        <f aca="false">IF(OR(E7="",L7=""),"",IF(E7=L7,"√","×"))</f>
        <v/>
      </c>
      <c r="O7" s="8"/>
      <c r="P7" s="8"/>
      <c r="Q7" s="8"/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42</v>
      </c>
    </row>
    <row r="3" customFormat="false" ht="15" hidden="false" customHeight="true" outlineLevel="0" collapsed="false">
      <c r="A3" s="14" t="s">
        <v>43</v>
      </c>
      <c r="B3" s="15" t="n">
        <f aca="false">COUNTIF(预测日志!M2:M1000,"√")+COUNTIF(预测日志!M2:M1000,"×")</f>
        <v>3</v>
      </c>
    </row>
    <row r="4" customFormat="false" ht="15" hidden="false" customHeight="true" outlineLevel="0" collapsed="false">
      <c r="A4" s="14" t="s">
        <v>44</v>
      </c>
      <c r="B4" s="15" t="n">
        <f aca="false">COUNTA(预测日志!A2:A1000)</f>
        <v>4</v>
      </c>
    </row>
    <row r="5" customFormat="false" ht="15" hidden="false" customHeight="true" outlineLevel="0" collapsed="false">
      <c r="A5" s="16" t="s">
        <v>45</v>
      </c>
      <c r="B5" s="17" t="n">
        <f aca="false">IFERROR(COUNTIF(预测日志!M2:M1000,"√")/B3,"-")</f>
        <v>1</v>
      </c>
    </row>
    <row r="6" customFormat="false" ht="15" hidden="false" customHeight="true" outlineLevel="0" collapsed="false">
      <c r="A6" s="14" t="s">
        <v>46</v>
      </c>
      <c r="B6" s="18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16" t="s">
        <v>47</v>
      </c>
      <c r="B7" s="17" t="n">
        <f aca="true">IFERROR(COUNTIF(OFFSET(预测日志!$M$1,B3-MIN(30,B3)+1,0,MIN(30,B3),1),"√")/MIN(30,B3),"-")</f>
        <v>1</v>
      </c>
    </row>
    <row r="8" customFormat="false" ht="15" hidden="false" customHeight="true" outlineLevel="0" collapsed="false">
      <c r="A8" s="14" t="s">
        <v>48</v>
      </c>
      <c r="B8" s="18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4" t="s">
        <v>49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1</v>
      </c>
    </row>
    <row r="10" customFormat="false" ht="15" hidden="false" customHeight="true" outlineLevel="0" collapsed="false">
      <c r="A10" s="14" t="s">
        <v>50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51</v>
      </c>
    </row>
    <row r="13" customFormat="false" ht="15" hidden="false" customHeight="true" outlineLevel="0" collapsed="false">
      <c r="A13" s="3" t="s">
        <v>52</v>
      </c>
      <c r="B13" s="1" t="n">
        <f aca="false">COUNT(预测日志!R2:R1000)</f>
        <v>4</v>
      </c>
    </row>
    <row r="14" customFormat="false" ht="15" hidden="false" customHeight="true" outlineLevel="0" collapsed="false">
      <c r="A14" s="3" t="s">
        <v>53</v>
      </c>
      <c r="B14" s="1" t="n">
        <f aca="false">COUNTIFS(预测日志!R2:R1000,"&gt;0",预测日志!M2:M1000,"√")+COUNTIFS(预测日志!R2:R1000,"&gt;0",预测日志!M2:M1000,"×")</f>
        <v>3</v>
      </c>
    </row>
    <row r="15" customFormat="false" ht="15" hidden="false" customHeight="true" outlineLevel="0" collapsed="false">
      <c r="A15" s="3" t="s">
        <v>54</v>
      </c>
      <c r="B15" s="1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56</v>
      </c>
    </row>
    <row r="3" customFormat="false" ht="15" hidden="false" customHeight="true" outlineLevel="0" collapsed="false">
      <c r="A3" s="21" t="s">
        <v>57</v>
      </c>
      <c r="B3" s="22" t="s">
        <v>58</v>
      </c>
    </row>
    <row r="4" customFormat="false" ht="15" hidden="false" customHeight="true" outlineLevel="0" collapsed="false">
      <c r="A4" s="21" t="s">
        <v>59</v>
      </c>
      <c r="B4" s="22" t="s">
        <v>60</v>
      </c>
    </row>
    <row r="5" customFormat="false" ht="15" hidden="false" customHeight="true" outlineLevel="0" collapsed="false">
      <c r="A5" s="21" t="s">
        <v>61</v>
      </c>
      <c r="B5" s="22" t="s">
        <v>62</v>
      </c>
    </row>
    <row r="6" customFormat="false" ht="15" hidden="false" customHeight="true" outlineLevel="0" collapsed="false">
      <c r="A6" s="21" t="s">
        <v>63</v>
      </c>
      <c r="B6" s="22" t="s">
        <v>64</v>
      </c>
    </row>
    <row r="7" customFormat="false" ht="15" hidden="false" customHeight="true" outlineLevel="0" collapsed="false">
      <c r="A7" s="21" t="s">
        <v>65</v>
      </c>
      <c r="B7" s="22" t="s">
        <v>66</v>
      </c>
    </row>
    <row r="8" customFormat="false" ht="15" hidden="false" customHeight="true" outlineLevel="0" collapsed="false">
      <c r="A8" s="21" t="s">
        <v>7</v>
      </c>
      <c r="B8" s="22" t="s">
        <v>67</v>
      </c>
    </row>
    <row r="9" customFormat="false" ht="15" hidden="false" customHeight="true" outlineLevel="0" collapsed="false">
      <c r="A9" s="21" t="s">
        <v>14</v>
      </c>
      <c r="B9" s="22" t="s">
        <v>68</v>
      </c>
    </row>
    <row r="10" customFormat="false" ht="15" hidden="false" customHeight="true" outlineLevel="0" collapsed="false">
      <c r="A10" s="21" t="s">
        <v>69</v>
      </c>
      <c r="B10" s="23" t="s">
        <v>70</v>
      </c>
    </row>
    <row r="11" customFormat="false" ht="15" hidden="false" customHeight="true" outlineLevel="0" collapsed="false">
      <c r="A11" s="21" t="s">
        <v>71</v>
      </c>
      <c r="B11" s="22" t="s">
        <v>72</v>
      </c>
    </row>
    <row r="12" customFormat="false" ht="15" hidden="false" customHeight="true" outlineLevel="0" collapsed="false">
      <c r="A12" s="21" t="s">
        <v>73</v>
      </c>
      <c r="B12" s="23" t="s">
        <v>74</v>
      </c>
    </row>
    <row r="13" customFormat="false" ht="15" hidden="false" customHeight="true" outlineLevel="0" collapsed="false">
      <c r="A13" s="3" t="s">
        <v>17</v>
      </c>
      <c r="B13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2026-08-25T22:34:01Z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